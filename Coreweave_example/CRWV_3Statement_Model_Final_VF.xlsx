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liuzhiyuan/Documents/CRWV-Analysis-Report/"/>
    </mc:Choice>
  </mc:AlternateContent>
  <xr:revisionPtr revIDLastSave="0" documentId="8_{26785196-AD1C-BA4E-9B82-45390CC07898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Summary" sheetId="1" r:id="rId1"/>
    <sheet name="Assumptions" sheetId="2" r:id="rId2"/>
    <sheet name="IS" sheetId="3" r:id="rId3"/>
    <sheet name="BS" sheetId="4" r:id="rId4"/>
    <sheet name="CF" sheetId="5" r:id="rId5"/>
    <sheet name="Returns" sheetId="6" r:id="rId6"/>
    <sheet name="Cross_Check" sheetId="7" r:id="rId7"/>
    <sheet name="Scenarios" sheetId="8" r:id="rId8"/>
    <sheet name="Raw_Info" sheetId="9" r:id="rId9"/>
    <sheet name="_State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8" l="1"/>
  <c r="B52" i="8"/>
  <c r="C19" i="8"/>
  <c r="B16" i="8"/>
  <c r="D16" i="8" s="1"/>
  <c r="B15" i="8"/>
  <c r="B14" i="8"/>
  <c r="D14" i="8" s="1"/>
  <c r="B13" i="8"/>
  <c r="B18" i="8" s="1"/>
  <c r="E9" i="8"/>
  <c r="G9" i="8" s="1"/>
  <c r="I9" i="8" s="1"/>
  <c r="J9" i="8" s="1"/>
  <c r="C16" i="8" s="1"/>
  <c r="G8" i="8"/>
  <c r="I8" i="8" s="1"/>
  <c r="J8" i="8" s="1"/>
  <c r="C15" i="8" s="1"/>
  <c r="E8" i="8"/>
  <c r="E7" i="8"/>
  <c r="G7" i="8" s="1"/>
  <c r="I7" i="8" s="1"/>
  <c r="J7" i="8" s="1"/>
  <c r="C14" i="8" s="1"/>
  <c r="E6" i="8"/>
  <c r="G6" i="8" s="1"/>
  <c r="I6" i="8" s="1"/>
  <c r="J6" i="8" s="1"/>
  <c r="C13" i="8" s="1"/>
  <c r="B35" i="5"/>
  <c r="D33" i="5"/>
  <c r="C33" i="5"/>
  <c r="C35" i="5" s="1"/>
  <c r="B33" i="5"/>
  <c r="J32" i="5"/>
  <c r="D32" i="5"/>
  <c r="C32" i="5"/>
  <c r="B32" i="5"/>
  <c r="J31" i="5"/>
  <c r="D31" i="5"/>
  <c r="C31" i="5"/>
  <c r="B31" i="5"/>
  <c r="J28" i="5"/>
  <c r="H28" i="5"/>
  <c r="D28" i="5"/>
  <c r="C28" i="5"/>
  <c r="B28" i="5"/>
  <c r="I27" i="5"/>
  <c r="H27" i="5"/>
  <c r="G27" i="5"/>
  <c r="F27" i="5"/>
  <c r="E27" i="5"/>
  <c r="D27" i="5"/>
  <c r="C27" i="5"/>
  <c r="B27" i="5"/>
  <c r="I26" i="5"/>
  <c r="H26" i="5"/>
  <c r="G26" i="5"/>
  <c r="F26" i="5"/>
  <c r="E26" i="5"/>
  <c r="D26" i="5"/>
  <c r="C26" i="5"/>
  <c r="B26" i="5"/>
  <c r="J25" i="5"/>
  <c r="I25" i="5"/>
  <c r="I28" i="5" s="1"/>
  <c r="H25" i="5"/>
  <c r="G25" i="5"/>
  <c r="G28" i="5" s="1"/>
  <c r="F25" i="5"/>
  <c r="F28" i="5" s="1"/>
  <c r="E25" i="5"/>
  <c r="E28" i="5" s="1"/>
  <c r="D25" i="5"/>
  <c r="C25" i="5"/>
  <c r="B25" i="5"/>
  <c r="J22" i="5"/>
  <c r="I22" i="5"/>
  <c r="D22" i="5"/>
  <c r="C22" i="5"/>
  <c r="B22" i="5"/>
  <c r="I21" i="5"/>
  <c r="H21" i="5"/>
  <c r="G21" i="5"/>
  <c r="F21" i="5"/>
  <c r="E21" i="5"/>
  <c r="D21" i="5"/>
  <c r="C21" i="5"/>
  <c r="B21" i="5"/>
  <c r="I20" i="5"/>
  <c r="H20" i="5"/>
  <c r="G20" i="5"/>
  <c r="G22" i="5" s="1"/>
  <c r="F20" i="5"/>
  <c r="E20" i="5"/>
  <c r="D20" i="5"/>
  <c r="C20" i="5"/>
  <c r="B20" i="5"/>
  <c r="I19" i="5"/>
  <c r="H19" i="5"/>
  <c r="H22" i="5" s="1"/>
  <c r="G19" i="5"/>
  <c r="F19" i="5"/>
  <c r="F22" i="5" s="1"/>
  <c r="E19" i="5"/>
  <c r="E22" i="5" s="1"/>
  <c r="D19" i="5"/>
  <c r="C19" i="5"/>
  <c r="B19" i="5"/>
  <c r="J16" i="5"/>
  <c r="D16" i="5"/>
  <c r="D38" i="5" s="1"/>
  <c r="C16" i="5"/>
  <c r="C38" i="5" s="1"/>
  <c r="C39" i="1" s="1"/>
  <c r="B16" i="5"/>
  <c r="B38" i="5" s="1"/>
  <c r="B39" i="1" s="1"/>
  <c r="D15" i="5"/>
  <c r="C15" i="5"/>
  <c r="B15" i="5"/>
  <c r="I14" i="5"/>
  <c r="H14" i="5"/>
  <c r="G14" i="5"/>
  <c r="F14" i="5"/>
  <c r="E14" i="5"/>
  <c r="D14" i="5"/>
  <c r="C14" i="5"/>
  <c r="B14" i="5"/>
  <c r="D13" i="5"/>
  <c r="C13" i="5"/>
  <c r="B13" i="5"/>
  <c r="J12" i="5"/>
  <c r="D12" i="5"/>
  <c r="C12" i="5"/>
  <c r="B12" i="5"/>
  <c r="J11" i="5"/>
  <c r="G11" i="5"/>
  <c r="D11" i="5"/>
  <c r="C11" i="5"/>
  <c r="B11" i="5"/>
  <c r="J10" i="5"/>
  <c r="D10" i="5"/>
  <c r="C10" i="5"/>
  <c r="B10" i="5"/>
  <c r="J9" i="5"/>
  <c r="D9" i="5"/>
  <c r="C9" i="5"/>
  <c r="B9" i="5"/>
  <c r="J8" i="5"/>
  <c r="D8" i="5"/>
  <c r="C8" i="5"/>
  <c r="B8" i="5"/>
  <c r="J7" i="5"/>
  <c r="D7" i="5"/>
  <c r="C7" i="5"/>
  <c r="B7" i="5"/>
  <c r="J6" i="5"/>
  <c r="I6" i="5"/>
  <c r="D6" i="5"/>
  <c r="C6" i="5"/>
  <c r="B6" i="5"/>
  <c r="J5" i="5"/>
  <c r="D5" i="5"/>
  <c r="C5" i="5"/>
  <c r="B5" i="5"/>
  <c r="I45" i="4"/>
  <c r="H43" i="4"/>
  <c r="G43" i="4"/>
  <c r="F43" i="4"/>
  <c r="E43" i="4"/>
  <c r="D43" i="4"/>
  <c r="C43" i="4"/>
  <c r="B43" i="4"/>
  <c r="I42" i="4"/>
  <c r="C41" i="4"/>
  <c r="B41" i="4"/>
  <c r="I40" i="4"/>
  <c r="C40" i="4"/>
  <c r="D40" i="4" s="1"/>
  <c r="B40" i="4"/>
  <c r="H39" i="4"/>
  <c r="G39" i="4"/>
  <c r="F39" i="4"/>
  <c r="E39" i="4"/>
  <c r="D39" i="4"/>
  <c r="C39" i="4"/>
  <c r="B39" i="4"/>
  <c r="H38" i="4"/>
  <c r="G38" i="4"/>
  <c r="F38" i="4"/>
  <c r="E38" i="4"/>
  <c r="D38" i="4"/>
  <c r="C38" i="4"/>
  <c r="C42" i="4" s="1"/>
  <c r="B38" i="4"/>
  <c r="B42" i="4" s="1"/>
  <c r="C34" i="1" s="1"/>
  <c r="I35" i="4"/>
  <c r="I33" i="4"/>
  <c r="H33" i="4"/>
  <c r="C33" i="4"/>
  <c r="H32" i="4"/>
  <c r="G32" i="4"/>
  <c r="F32" i="4"/>
  <c r="F33" i="4" s="1"/>
  <c r="E32" i="4"/>
  <c r="D32" i="4"/>
  <c r="C32" i="4"/>
  <c r="B32" i="4"/>
  <c r="H31" i="4"/>
  <c r="G31" i="4"/>
  <c r="F31" i="4"/>
  <c r="E31" i="4"/>
  <c r="D31" i="4"/>
  <c r="C31" i="4"/>
  <c r="B31" i="4"/>
  <c r="H30" i="4"/>
  <c r="G30" i="4"/>
  <c r="H12" i="5" s="1"/>
  <c r="F30" i="4"/>
  <c r="E30" i="4"/>
  <c r="E33" i="4" s="1"/>
  <c r="D30" i="4"/>
  <c r="C30" i="4"/>
  <c r="B30" i="4"/>
  <c r="H29" i="4"/>
  <c r="G29" i="4"/>
  <c r="G33" i="4" s="1"/>
  <c r="F29" i="4"/>
  <c r="E29" i="4"/>
  <c r="D29" i="4"/>
  <c r="D33" i="4" s="1"/>
  <c r="C29" i="4"/>
  <c r="B29" i="4"/>
  <c r="B33" i="4" s="1"/>
  <c r="I26" i="4"/>
  <c r="H25" i="4"/>
  <c r="G25" i="4"/>
  <c r="F25" i="4"/>
  <c r="E25" i="4"/>
  <c r="D25" i="4"/>
  <c r="C25" i="4"/>
  <c r="B25" i="4"/>
  <c r="B26" i="4" s="1"/>
  <c r="H24" i="4"/>
  <c r="I12" i="5" s="1"/>
  <c r="G24" i="4"/>
  <c r="F24" i="4"/>
  <c r="G12" i="5" s="1"/>
  <c r="E24" i="4"/>
  <c r="F12" i="5" s="1"/>
  <c r="D24" i="4"/>
  <c r="E12" i="5" s="1"/>
  <c r="C24" i="4"/>
  <c r="B24" i="4"/>
  <c r="H23" i="4"/>
  <c r="G23" i="4"/>
  <c r="F23" i="4"/>
  <c r="E23" i="4"/>
  <c r="D23" i="4"/>
  <c r="C23" i="4"/>
  <c r="B36" i="6" s="1"/>
  <c r="B23" i="4"/>
  <c r="H22" i="4"/>
  <c r="I11" i="5" s="1"/>
  <c r="G22" i="4"/>
  <c r="H11" i="5" s="1"/>
  <c r="F22" i="4"/>
  <c r="E22" i="4"/>
  <c r="F11" i="5" s="1"/>
  <c r="D22" i="4"/>
  <c r="E11" i="5" s="1"/>
  <c r="C22" i="4"/>
  <c r="C26" i="4" s="1"/>
  <c r="B22" i="4"/>
  <c r="I21" i="4"/>
  <c r="E21" i="4"/>
  <c r="C21" i="4"/>
  <c r="B21" i="4"/>
  <c r="I18" i="4"/>
  <c r="I16" i="4"/>
  <c r="H15" i="4"/>
  <c r="G15" i="4"/>
  <c r="F15" i="4"/>
  <c r="E15" i="4"/>
  <c r="D15" i="4"/>
  <c r="C15" i="4"/>
  <c r="B15" i="4"/>
  <c r="H14" i="4"/>
  <c r="G14" i="4"/>
  <c r="F14" i="4"/>
  <c r="E14" i="4"/>
  <c r="D14" i="4"/>
  <c r="C14" i="4"/>
  <c r="B14" i="4"/>
  <c r="H13" i="4"/>
  <c r="G13" i="4"/>
  <c r="F13" i="4"/>
  <c r="E13" i="4"/>
  <c r="D13" i="4"/>
  <c r="C13" i="4"/>
  <c r="B13" i="4"/>
  <c r="H12" i="4"/>
  <c r="G12" i="4"/>
  <c r="F12" i="4"/>
  <c r="E12" i="4"/>
  <c r="D12" i="4"/>
  <c r="C12" i="4"/>
  <c r="B12" i="4"/>
  <c r="C11" i="4"/>
  <c r="C16" i="4" s="1"/>
  <c r="B11" i="4"/>
  <c r="B16" i="4" s="1"/>
  <c r="I8" i="4"/>
  <c r="C8" i="4"/>
  <c r="B10" i="6" s="1"/>
  <c r="H7" i="4"/>
  <c r="I9" i="5" s="1"/>
  <c r="G7" i="4"/>
  <c r="H9" i="5" s="1"/>
  <c r="F7" i="4"/>
  <c r="G9" i="5" s="1"/>
  <c r="E7" i="4"/>
  <c r="F9" i="5" s="1"/>
  <c r="D7" i="4"/>
  <c r="E9" i="5" s="1"/>
  <c r="C7" i="4"/>
  <c r="B7" i="4"/>
  <c r="I6" i="4"/>
  <c r="E6" i="4"/>
  <c r="C6" i="4"/>
  <c r="B6" i="4"/>
  <c r="C5" i="4"/>
  <c r="D35" i="5" s="1"/>
  <c r="B5" i="4"/>
  <c r="B8" i="4" s="1"/>
  <c r="B18" i="4" s="1"/>
  <c r="J43" i="3"/>
  <c r="I42" i="3"/>
  <c r="I7" i="5" s="1"/>
  <c r="H42" i="3"/>
  <c r="H7" i="5" s="1"/>
  <c r="G42" i="3"/>
  <c r="G7" i="5" s="1"/>
  <c r="F42" i="3"/>
  <c r="F7" i="5" s="1"/>
  <c r="E42" i="3"/>
  <c r="E7" i="5" s="1"/>
  <c r="D42" i="3"/>
  <c r="C42" i="3"/>
  <c r="B42" i="3"/>
  <c r="I41" i="3"/>
  <c r="H41" i="3"/>
  <c r="H6" i="5" s="1"/>
  <c r="G41" i="3"/>
  <c r="G6" i="5" s="1"/>
  <c r="F41" i="3"/>
  <c r="F6" i="5" s="1"/>
  <c r="E41" i="3"/>
  <c r="E6" i="5" s="1"/>
  <c r="D41" i="3"/>
  <c r="C41" i="3"/>
  <c r="B41" i="3"/>
  <c r="I38" i="3"/>
  <c r="H38" i="3"/>
  <c r="G38" i="3"/>
  <c r="F38" i="3"/>
  <c r="E38" i="3"/>
  <c r="D38" i="3"/>
  <c r="C38" i="3"/>
  <c r="B38" i="3"/>
  <c r="J34" i="3"/>
  <c r="I31" i="3"/>
  <c r="G6" i="6" s="1"/>
  <c r="H31" i="3"/>
  <c r="F6" i="6" s="1"/>
  <c r="G31" i="3"/>
  <c r="E6" i="6" s="1"/>
  <c r="F31" i="3"/>
  <c r="D6" i="6" s="1"/>
  <c r="E31" i="3"/>
  <c r="C6" i="6" s="1"/>
  <c r="D30" i="3"/>
  <c r="C30" i="3"/>
  <c r="B30" i="3"/>
  <c r="J29" i="3"/>
  <c r="I28" i="3"/>
  <c r="H28" i="3"/>
  <c r="G28" i="3"/>
  <c r="F28" i="3"/>
  <c r="E28" i="3"/>
  <c r="D28" i="3"/>
  <c r="C28" i="3"/>
  <c r="B28" i="3"/>
  <c r="I27" i="3"/>
  <c r="H27" i="3"/>
  <c r="G27" i="3"/>
  <c r="F27" i="3"/>
  <c r="E27" i="3"/>
  <c r="D27" i="3"/>
  <c r="C27" i="3"/>
  <c r="B27" i="3"/>
  <c r="I26" i="3"/>
  <c r="H26" i="3"/>
  <c r="G26" i="3"/>
  <c r="F26" i="3"/>
  <c r="E26" i="3"/>
  <c r="D26" i="3"/>
  <c r="C26" i="3"/>
  <c r="B26" i="3"/>
  <c r="J22" i="3"/>
  <c r="B19" i="3"/>
  <c r="J18" i="3"/>
  <c r="B18" i="3"/>
  <c r="I17" i="3"/>
  <c r="H17" i="3"/>
  <c r="D17" i="3"/>
  <c r="C17" i="3"/>
  <c r="B17" i="3"/>
  <c r="H16" i="3"/>
  <c r="G16" i="3"/>
  <c r="F16" i="3"/>
  <c r="D16" i="3"/>
  <c r="C16" i="3"/>
  <c r="C18" i="3" s="1"/>
  <c r="B16" i="3"/>
  <c r="H15" i="3"/>
  <c r="H18" i="3" s="1"/>
  <c r="H19" i="3" s="1"/>
  <c r="F15" i="3"/>
  <c r="E15" i="3"/>
  <c r="D15" i="3"/>
  <c r="D18" i="3" s="1"/>
  <c r="C15" i="3"/>
  <c r="B15" i="3"/>
  <c r="J11" i="3"/>
  <c r="B11" i="3"/>
  <c r="B22" i="1" s="1"/>
  <c r="I10" i="3"/>
  <c r="H21" i="4" s="1"/>
  <c r="F10" i="3"/>
  <c r="D10" i="3"/>
  <c r="C10" i="3"/>
  <c r="B10" i="3"/>
  <c r="I7" i="3"/>
  <c r="H7" i="3"/>
  <c r="G7" i="3"/>
  <c r="G6" i="3"/>
  <c r="F6" i="3"/>
  <c r="D6" i="3"/>
  <c r="C6" i="3"/>
  <c r="B6" i="3"/>
  <c r="I5" i="3"/>
  <c r="I15" i="3" s="1"/>
  <c r="H5" i="3"/>
  <c r="G5" i="3"/>
  <c r="F5" i="3"/>
  <c r="F11" i="3" s="1"/>
  <c r="E5" i="3"/>
  <c r="D5" i="3"/>
  <c r="C5" i="3"/>
  <c r="C7" i="3" s="1"/>
  <c r="B5" i="3"/>
  <c r="B7" i="3" s="1"/>
  <c r="F82" i="2"/>
  <c r="B82" i="2"/>
  <c r="F81" i="2"/>
  <c r="E81" i="2"/>
  <c r="D81" i="2"/>
  <c r="C81" i="2"/>
  <c r="B81" i="2"/>
  <c r="E66" i="2"/>
  <c r="F65" i="2"/>
  <c r="E65" i="2"/>
  <c r="E82" i="2" s="1"/>
  <c r="D65" i="2"/>
  <c r="D82" i="2" s="1"/>
  <c r="C65" i="2"/>
  <c r="C82" i="2" s="1"/>
  <c r="B65" i="2"/>
  <c r="F64" i="2"/>
  <c r="F66" i="2" s="1"/>
  <c r="E64" i="2"/>
  <c r="D64" i="2"/>
  <c r="C64" i="2"/>
  <c r="B64" i="2"/>
  <c r="B66" i="2" s="1"/>
  <c r="I38" i="1"/>
  <c r="H38" i="1"/>
  <c r="G38" i="1"/>
  <c r="F38" i="1"/>
  <c r="E38" i="1"/>
  <c r="D38" i="1"/>
  <c r="C38" i="1"/>
  <c r="B38" i="1"/>
  <c r="D37" i="1"/>
  <c r="C37" i="1"/>
  <c r="B37" i="1"/>
  <c r="D35" i="1"/>
  <c r="C35" i="1"/>
  <c r="C33" i="1"/>
  <c r="I32" i="1"/>
  <c r="H32" i="1"/>
  <c r="G32" i="1"/>
  <c r="F32" i="1"/>
  <c r="D32" i="1"/>
  <c r="C32" i="1"/>
  <c r="I20" i="1"/>
  <c r="H20" i="1"/>
  <c r="F20" i="1"/>
  <c r="C20" i="1"/>
  <c r="I19" i="1"/>
  <c r="H19" i="1"/>
  <c r="G19" i="1"/>
  <c r="F19" i="1"/>
  <c r="E19" i="1"/>
  <c r="C19" i="1"/>
  <c r="B19" i="1"/>
  <c r="C31" i="1" l="1"/>
  <c r="B11" i="6"/>
  <c r="C35" i="4"/>
  <c r="C45" i="4" s="1"/>
  <c r="E40" i="4"/>
  <c r="F40" i="4" s="1"/>
  <c r="G40" i="4" s="1"/>
  <c r="H40" i="4" s="1"/>
  <c r="B39" i="6"/>
  <c r="D39" i="1"/>
  <c r="D15" i="8"/>
  <c r="H26" i="4"/>
  <c r="F10" i="5"/>
  <c r="B13" i="6"/>
  <c r="C18" i="4"/>
  <c r="B20" i="6"/>
  <c r="D34" i="1"/>
  <c r="F12" i="3"/>
  <c r="F22" i="1"/>
  <c r="F21" i="1"/>
  <c r="G11" i="3"/>
  <c r="B35" i="4"/>
  <c r="B45" i="4" s="1"/>
  <c r="B47" i="4" s="1"/>
  <c r="B12" i="6"/>
  <c r="B14" i="6" s="1"/>
  <c r="B15" i="6" s="1"/>
  <c r="F8" i="5"/>
  <c r="F13" i="5" s="1"/>
  <c r="D7" i="3"/>
  <c r="E17" i="3"/>
  <c r="E26" i="4"/>
  <c r="D13" i="8"/>
  <c r="B21" i="1"/>
  <c r="E7" i="3"/>
  <c r="G10" i="3"/>
  <c r="F21" i="4" s="1"/>
  <c r="I11" i="3"/>
  <c r="F17" i="3"/>
  <c r="F18" i="3" s="1"/>
  <c r="F6" i="4"/>
  <c r="G8" i="5" s="1"/>
  <c r="D22" i="1"/>
  <c r="E32" i="1"/>
  <c r="F7" i="3"/>
  <c r="H10" i="3"/>
  <c r="E16" i="3"/>
  <c r="E18" i="3" s="1"/>
  <c r="E19" i="3" s="1"/>
  <c r="G17" i="3"/>
  <c r="B22" i="3"/>
  <c r="G6" i="4"/>
  <c r="D11" i="4"/>
  <c r="E32" i="5"/>
  <c r="E6" i="3"/>
  <c r="B12" i="3"/>
  <c r="H6" i="4"/>
  <c r="I8" i="5" s="1"/>
  <c r="B48" i="8"/>
  <c r="C11" i="3"/>
  <c r="D12" i="3"/>
  <c r="C19" i="3"/>
  <c r="D20" i="1"/>
  <c r="E20" i="1"/>
  <c r="I22" i="1"/>
  <c r="H6" i="3"/>
  <c r="D11" i="3"/>
  <c r="G15" i="3"/>
  <c r="I16" i="3"/>
  <c r="I18" i="3" s="1"/>
  <c r="I19" i="3" s="1"/>
  <c r="D19" i="3"/>
  <c r="I6" i="3"/>
  <c r="E11" i="3"/>
  <c r="E22" i="1" s="1"/>
  <c r="D19" i="1"/>
  <c r="G20" i="1"/>
  <c r="D33" i="1"/>
  <c r="C66" i="2"/>
  <c r="D66" i="2"/>
  <c r="E10" i="3"/>
  <c r="D21" i="4" s="1"/>
  <c r="D6" i="4"/>
  <c r="E8" i="5" s="1"/>
  <c r="F19" i="3" l="1"/>
  <c r="F22" i="3"/>
  <c r="B43" i="3"/>
  <c r="B29" i="3"/>
  <c r="B25" i="1"/>
  <c r="B26" i="1"/>
  <c r="D18" i="8"/>
  <c r="D20" i="8" s="1"/>
  <c r="H35" i="4"/>
  <c r="G11" i="6"/>
  <c r="E21" i="1"/>
  <c r="E12" i="3"/>
  <c r="E22" i="3"/>
  <c r="B25" i="6"/>
  <c r="C47" i="4"/>
  <c r="D31" i="1"/>
  <c r="G12" i="3"/>
  <c r="G22" i="3"/>
  <c r="G21" i="1"/>
  <c r="G22" i="1"/>
  <c r="I22" i="3"/>
  <c r="I21" i="1"/>
  <c r="I12" i="3"/>
  <c r="G13" i="5"/>
  <c r="D11" i="6"/>
  <c r="E35" i="4"/>
  <c r="H8" i="5"/>
  <c r="G21" i="4"/>
  <c r="H11" i="3"/>
  <c r="B23" i="3"/>
  <c r="G18" i="3"/>
  <c r="G19" i="3" s="1"/>
  <c r="D16" i="4"/>
  <c r="C13" i="6" s="1"/>
  <c r="E11" i="4"/>
  <c r="G10" i="5"/>
  <c r="F26" i="4"/>
  <c r="E13" i="5"/>
  <c r="D22" i="3"/>
  <c r="D21" i="1"/>
  <c r="C22" i="3"/>
  <c r="C22" i="1"/>
  <c r="C21" i="1"/>
  <c r="C12" i="3"/>
  <c r="D26" i="4"/>
  <c r="E10" i="5"/>
  <c r="E16" i="4" l="1"/>
  <c r="D13" i="6" s="1"/>
  <c r="F11" i="4"/>
  <c r="G29" i="3"/>
  <c r="G25" i="1"/>
  <c r="G23" i="3"/>
  <c r="E5" i="6"/>
  <c r="E7" i="6" s="1"/>
  <c r="G43" i="3"/>
  <c r="E38" i="6"/>
  <c r="G26" i="1"/>
  <c r="C43" i="3"/>
  <c r="C29" i="3"/>
  <c r="C25" i="1"/>
  <c r="C23" i="3"/>
  <c r="C26" i="1"/>
  <c r="C11" i="6"/>
  <c r="D35" i="4"/>
  <c r="B30" i="6"/>
  <c r="B31" i="6"/>
  <c r="D43" i="3"/>
  <c r="D29" i="3"/>
  <c r="B5" i="6"/>
  <c r="D25" i="1"/>
  <c r="B38" i="6"/>
  <c r="D26" i="1"/>
  <c r="D23" i="3"/>
  <c r="B34" i="3"/>
  <c r="B31" i="3"/>
  <c r="H10" i="5"/>
  <c r="H13" i="5" s="1"/>
  <c r="G26" i="4"/>
  <c r="I10" i="5"/>
  <c r="I13" i="5" s="1"/>
  <c r="I23" i="3"/>
  <c r="G5" i="6"/>
  <c r="G7" i="6" s="1"/>
  <c r="I43" i="3"/>
  <c r="I29" i="3"/>
  <c r="I25" i="1"/>
  <c r="G38" i="6"/>
  <c r="I26" i="1"/>
  <c r="E43" i="3"/>
  <c r="E26" i="1"/>
  <c r="E29" i="3"/>
  <c r="E25" i="1"/>
  <c r="E23" i="3"/>
  <c r="C5" i="6"/>
  <c r="C7" i="6" s="1"/>
  <c r="C38" i="6"/>
  <c r="B23" i="1"/>
  <c r="B24" i="1"/>
  <c r="B44" i="3"/>
  <c r="H12" i="3"/>
  <c r="H22" i="3"/>
  <c r="H21" i="1"/>
  <c r="H22" i="1"/>
  <c r="F43" i="3"/>
  <c r="F25" i="1"/>
  <c r="F29" i="3"/>
  <c r="F26" i="1"/>
  <c r="F23" i="3"/>
  <c r="D5" i="6"/>
  <c r="D7" i="6" s="1"/>
  <c r="D38" i="6"/>
  <c r="E11" i="6"/>
  <c r="F35" i="4"/>
  <c r="C23" i="1" l="1"/>
  <c r="C44" i="1"/>
  <c r="C44" i="3"/>
  <c r="C24" i="1"/>
  <c r="I23" i="1"/>
  <c r="I44" i="3"/>
  <c r="I24" i="1"/>
  <c r="G30" i="3"/>
  <c r="G34" i="3"/>
  <c r="F16" i="4"/>
  <c r="E13" i="6" s="1"/>
  <c r="G11" i="4"/>
  <c r="E44" i="3"/>
  <c r="E23" i="1"/>
  <c r="E24" i="1"/>
  <c r="B27" i="1"/>
  <c r="B28" i="1"/>
  <c r="B35" i="3"/>
  <c r="B36" i="3"/>
  <c r="B37" i="3"/>
  <c r="B45" i="3"/>
  <c r="B29" i="1" s="1"/>
  <c r="G44" i="3"/>
  <c r="G23" i="1"/>
  <c r="G24" i="1"/>
  <c r="F30" i="3"/>
  <c r="F34" i="3"/>
  <c r="I30" i="3"/>
  <c r="I34" i="3"/>
  <c r="F24" i="1"/>
  <c r="F44" i="3"/>
  <c r="B50" i="8" s="1"/>
  <c r="B49" i="8"/>
  <c r="F23" i="1"/>
  <c r="E30" i="3"/>
  <c r="E34" i="3"/>
  <c r="D31" i="3"/>
  <c r="B6" i="6" s="1"/>
  <c r="B7" i="6" s="1"/>
  <c r="B16" i="6" s="1"/>
  <c r="D41" i="1" s="1"/>
  <c r="D34" i="3"/>
  <c r="H29" i="3"/>
  <c r="H25" i="1"/>
  <c r="H23" i="3"/>
  <c r="H26" i="1"/>
  <c r="F5" i="6"/>
  <c r="F7" i="6" s="1"/>
  <c r="H43" i="3"/>
  <c r="F38" i="6"/>
  <c r="G35" i="4"/>
  <c r="F11" i="6"/>
  <c r="D23" i="1"/>
  <c r="B37" i="6"/>
  <c r="D44" i="1"/>
  <c r="D44" i="3"/>
  <c r="D24" i="1"/>
  <c r="C34" i="3"/>
  <c r="C31" i="3"/>
  <c r="H30" i="3" l="1"/>
  <c r="H34" i="3"/>
  <c r="H11" i="4"/>
  <c r="H16" i="4" s="1"/>
  <c r="G13" i="6" s="1"/>
  <c r="G16" i="4"/>
  <c r="F13" i="6" s="1"/>
  <c r="D36" i="3"/>
  <c r="D37" i="3"/>
  <c r="D45" i="3"/>
  <c r="D29" i="1" s="1"/>
  <c r="D27" i="1"/>
  <c r="B24" i="6"/>
  <c r="B26" i="6" s="1"/>
  <c r="D43" i="1" s="1"/>
  <c r="D35" i="3"/>
  <c r="D28" i="1"/>
  <c r="I45" i="3"/>
  <c r="I29" i="1" s="1"/>
  <c r="I28" i="1"/>
  <c r="I27" i="1"/>
  <c r="G24" i="6"/>
  <c r="I5" i="5"/>
  <c r="I35" i="3"/>
  <c r="I36" i="3"/>
  <c r="I37" i="3"/>
  <c r="G37" i="3"/>
  <c r="G45" i="3"/>
  <c r="G29" i="1" s="1"/>
  <c r="E24" i="6"/>
  <c r="G5" i="5"/>
  <c r="G35" i="3"/>
  <c r="G27" i="1"/>
  <c r="G36" i="3"/>
  <c r="G28" i="1"/>
  <c r="E36" i="3"/>
  <c r="E37" i="3"/>
  <c r="E45" i="3"/>
  <c r="E29" i="1" s="1"/>
  <c r="D41" i="4"/>
  <c r="E27" i="1"/>
  <c r="C24" i="6"/>
  <c r="E5" i="5"/>
  <c r="E35" i="3"/>
  <c r="E28" i="1"/>
  <c r="H23" i="1"/>
  <c r="H24" i="1"/>
  <c r="H44" i="3"/>
  <c r="F36" i="3"/>
  <c r="F37" i="3"/>
  <c r="F45" i="3"/>
  <c r="F29" i="1" s="1"/>
  <c r="F27" i="1"/>
  <c r="D24" i="6"/>
  <c r="F5" i="5"/>
  <c r="F28" i="1"/>
  <c r="F35" i="3"/>
  <c r="C36" i="3"/>
  <c r="C37" i="3"/>
  <c r="C45" i="3"/>
  <c r="C29" i="1" s="1"/>
  <c r="C27" i="1"/>
  <c r="C35" i="3"/>
  <c r="C28" i="1"/>
  <c r="C19" i="6" l="1"/>
  <c r="C29" i="6"/>
  <c r="G19" i="6"/>
  <c r="G29" i="6"/>
  <c r="B19" i="6"/>
  <c r="B21" i="6" s="1"/>
  <c r="D42" i="1" s="1"/>
  <c r="B29" i="6"/>
  <c r="B32" i="6" s="1"/>
  <c r="B33" i="6" s="1"/>
  <c r="D19" i="6"/>
  <c r="D29" i="6"/>
  <c r="E41" i="4"/>
  <c r="D42" i="4"/>
  <c r="H37" i="3"/>
  <c r="H45" i="3"/>
  <c r="H29" i="1" s="1"/>
  <c r="H27" i="1"/>
  <c r="F24" i="6"/>
  <c r="H5" i="5"/>
  <c r="H35" i="3"/>
  <c r="H28" i="1"/>
  <c r="H36" i="3"/>
  <c r="E19" i="6"/>
  <c r="E29" i="6"/>
  <c r="F41" i="4" l="1"/>
  <c r="E42" i="4"/>
  <c r="F19" i="6"/>
  <c r="F29" i="6"/>
  <c r="C20" i="6"/>
  <c r="E34" i="1"/>
  <c r="D45" i="4"/>
  <c r="E15" i="5" s="1"/>
  <c r="E16" i="5" s="1"/>
  <c r="C21" i="6" l="1"/>
  <c r="E42" i="1" s="1"/>
  <c r="F34" i="1"/>
  <c r="D20" i="6"/>
  <c r="E45" i="4"/>
  <c r="E38" i="5"/>
  <c r="E31" i="5"/>
  <c r="E33" i="5" s="1"/>
  <c r="E37" i="1"/>
  <c r="G41" i="4"/>
  <c r="F42" i="4"/>
  <c r="H41" i="4" l="1"/>
  <c r="H42" i="4" s="1"/>
  <c r="G42" i="4"/>
  <c r="D5" i="4"/>
  <c r="C39" i="6"/>
  <c r="E39" i="1"/>
  <c r="D21" i="6"/>
  <c r="F42" i="1" s="1"/>
  <c r="F15" i="5"/>
  <c r="F16" i="5" s="1"/>
  <c r="G34" i="1"/>
  <c r="E20" i="6"/>
  <c r="F45" i="4"/>
  <c r="F38" i="5" l="1"/>
  <c r="F31" i="5"/>
  <c r="F37" i="1"/>
  <c r="E33" i="1"/>
  <c r="D8" i="4"/>
  <c r="F32" i="5"/>
  <c r="F33" i="5" s="1"/>
  <c r="E35" i="1"/>
  <c r="C36" i="6"/>
  <c r="C37" i="6" s="1"/>
  <c r="E44" i="1"/>
  <c r="H34" i="1"/>
  <c r="F20" i="6"/>
  <c r="G45" i="4"/>
  <c r="E35" i="5"/>
  <c r="E21" i="6"/>
  <c r="G42" i="1" s="1"/>
  <c r="G20" i="6"/>
  <c r="I34" i="1"/>
  <c r="H45" i="4"/>
  <c r="G21" i="6" l="1"/>
  <c r="I42" i="1" s="1"/>
  <c r="E5" i="4"/>
  <c r="F35" i="5"/>
  <c r="D18" i="4"/>
  <c r="C10" i="6"/>
  <c r="C12" i="6" s="1"/>
  <c r="C14" i="6" s="1"/>
  <c r="C15" i="6" s="1"/>
  <c r="C16" i="6" s="1"/>
  <c r="E41" i="1" s="1"/>
  <c r="F21" i="6"/>
  <c r="H42" i="1" s="1"/>
  <c r="D39" i="6"/>
  <c r="F39" i="1"/>
  <c r="C25" i="6" l="1"/>
  <c r="E31" i="1"/>
  <c r="D47" i="4"/>
  <c r="E8" i="4"/>
  <c r="G32" i="5"/>
  <c r="F35" i="1"/>
  <c r="F33" i="1"/>
  <c r="D36" i="6"/>
  <c r="D37" i="6" s="1"/>
  <c r="B51" i="8"/>
  <c r="F44" i="1"/>
  <c r="G15" i="5"/>
  <c r="G16" i="5" s="1"/>
  <c r="E18" i="4" l="1"/>
  <c r="D10" i="6"/>
  <c r="D12" i="6" s="1"/>
  <c r="D14" i="6" s="1"/>
  <c r="D15" i="6" s="1"/>
  <c r="D16" i="6" s="1"/>
  <c r="F41" i="1" s="1"/>
  <c r="G38" i="5"/>
  <c r="G31" i="5"/>
  <c r="G33" i="5" s="1"/>
  <c r="G37" i="1"/>
  <c r="C30" i="6"/>
  <c r="C26" i="6"/>
  <c r="E43" i="1" s="1"/>
  <c r="C31" i="6"/>
  <c r="F5" i="4" l="1"/>
  <c r="G35" i="5"/>
  <c r="C32" i="6"/>
  <c r="C33" i="6" s="1"/>
  <c r="E39" i="6"/>
  <c r="G39" i="1"/>
  <c r="D25" i="6"/>
  <c r="F31" i="1"/>
  <c r="E47" i="4"/>
  <c r="D30" i="6" l="1"/>
  <c r="D26" i="6"/>
  <c r="F43" i="1" s="1"/>
  <c r="D31" i="6"/>
  <c r="G35" i="1"/>
  <c r="F8" i="4"/>
  <c r="H32" i="5"/>
  <c r="G33" i="1"/>
  <c r="E36" i="6"/>
  <c r="E37" i="6" s="1"/>
  <c r="G44" i="1"/>
  <c r="H15" i="5"/>
  <c r="H16" i="5" s="1"/>
  <c r="H37" i="1" l="1"/>
  <c r="H31" i="5"/>
  <c r="H33" i="5" s="1"/>
  <c r="H38" i="5"/>
  <c r="F18" i="4"/>
  <c r="E10" i="6"/>
  <c r="E12" i="6" s="1"/>
  <c r="E14" i="6" s="1"/>
  <c r="E15" i="6" s="1"/>
  <c r="E16" i="6" s="1"/>
  <c r="G41" i="1" s="1"/>
  <c r="D32" i="6"/>
  <c r="D33" i="6" s="1"/>
  <c r="G5" i="4" l="1"/>
  <c r="H35" i="5"/>
  <c r="E25" i="6"/>
  <c r="G31" i="1"/>
  <c r="F47" i="4"/>
  <c r="F39" i="6"/>
  <c r="H39" i="1"/>
  <c r="E30" i="6" l="1"/>
  <c r="E26" i="6"/>
  <c r="G43" i="1" s="1"/>
  <c r="E31" i="6"/>
  <c r="G8" i="4"/>
  <c r="I32" i="5"/>
  <c r="H35" i="1"/>
  <c r="H33" i="1"/>
  <c r="F36" i="6"/>
  <c r="F37" i="6" s="1"/>
  <c r="H44" i="1"/>
  <c r="I15" i="5"/>
  <c r="I16" i="5" s="1"/>
  <c r="I31" i="5" l="1"/>
  <c r="I37" i="1"/>
  <c r="I38" i="5"/>
  <c r="I33" i="5"/>
  <c r="G18" i="4"/>
  <c r="F10" i="6"/>
  <c r="F12" i="6" s="1"/>
  <c r="F14" i="6" s="1"/>
  <c r="F15" i="6" s="1"/>
  <c r="F16" i="6" s="1"/>
  <c r="H41" i="1" s="1"/>
  <c r="E32" i="6"/>
  <c r="E33" i="6" s="1"/>
  <c r="G39" i="6" l="1"/>
  <c r="I39" i="1"/>
  <c r="H31" i="1"/>
  <c r="G47" i="4"/>
  <c r="F25" i="6"/>
  <c r="H5" i="4"/>
  <c r="I35" i="5"/>
  <c r="H8" i="4" l="1"/>
  <c r="I35" i="1"/>
  <c r="I33" i="1"/>
  <c r="G36" i="6"/>
  <c r="G37" i="6" s="1"/>
  <c r="I44" i="1"/>
  <c r="F30" i="6"/>
  <c r="F26" i="6"/>
  <c r="H43" i="1" s="1"/>
  <c r="F31" i="6"/>
  <c r="F32" i="6" l="1"/>
  <c r="F33" i="6" s="1"/>
  <c r="H18" i="4"/>
  <c r="G10" i="6"/>
  <c r="G12" i="6" s="1"/>
  <c r="G14" i="6" s="1"/>
  <c r="G15" i="6" s="1"/>
  <c r="G16" i="6" s="1"/>
  <c r="I41" i="1" s="1"/>
  <c r="I31" i="1" l="1"/>
  <c r="H47" i="4"/>
  <c r="G25" i="6"/>
  <c r="G30" i="6" l="1"/>
  <c r="G26" i="6"/>
  <c r="I43" i="1" s="1"/>
  <c r="G31" i="6"/>
  <c r="G32" i="6" l="1"/>
  <c r="G33" i="6" s="1"/>
</calcChain>
</file>

<file path=xl/sharedStrings.xml><?xml version="1.0" encoding="utf-8"?>
<sst xmlns="http://schemas.openxmlformats.org/spreadsheetml/2006/main" count="1151" uniqueCount="900">
  <si>
    <t>CoreWeave, Inc. (CRWV) — Investment Summary</t>
  </si>
  <si>
    <t>US GAAP | Units: $M | NASDAQ: CRWV | Sector: Cloud Infrastructure / GPU-as-a-Service</t>
  </si>
  <si>
    <t>1. BUSINESS PROFILE &amp; INVESTMENT THESIS</t>
  </si>
  <si>
    <t>Core Business: Purpose-built GPU cloud infrastructure provider (Neocloud). Operates 28 data centers across NA/EU with ~600K GPUs.</t>
  </si>
  <si>
    <t>Revenue Model: Take-or-pay contracts with hyperscalers (Microsoft ~62% of FY2025 rev), AI labs, and enterprises. Multi-year committed arrangements with 3-5yr weighted avg contract life.</t>
  </si>
  <si>
    <t>Key Assets: NVIDIA H100/H200/GB200 GPU fleet, proprietary Kubernetes orchestration (CoreWeave Cloud OS), 850MW+ active power capacity.</t>
  </si>
  <si>
    <t>Moat: (1) First-mover GPU cloud scale; (2) Deep NVIDIA partnership (preferred partner status); (3) Purpose-built infra vs retrofitted hyperscaler; (4) Take-or-pay revenue visibility ($60.7B RPO, $87.8B backlog).</t>
  </si>
  <si>
    <t>INVESTMENT THESIS — Asymmetric Risk-Reward; Wait for Catalyst</t>
  </si>
  <si>
    <t>Core View: CoreWeave is a high-quality GPU infrastructure franchise with $88B backlog and 60% EBITDA margin — but the market is pricing this correctly at $118. Probability-weighted target ~$139 (+17% upside) against 35% Bear+Distress probability (-60% to -100%). This is a 3-year growth trade, not a long-term hold: moat decays from 4/5 to 2/5 over 5 years as GPU scarcity fades, contracts reprice, and inference switching costs stay low.</t>
  </si>
  <si>
    <t>What Must Go Right: (1) Revenue visibility — $60.7B RPO locks ~$13B/yr through 2027, but 2030+ drops to ~$3.3B/yr without $20-25B/yr new backlog; (2) EBITDA scales from $3.1B to $7-11B (FY26-27E) enabling deleverage from 5.65x to &lt;3.5x; (3) GAAP profitability by FY2027E requires $19-20B revenue — narrow margin of error; (4) FCF turns positive by FY2028-29 as capex decelerates from $20B to $10B.</t>
  </si>
  <si>
    <t>What Can Go Wrong: (1) Customer concentration — MSFT 67% of revenue, top-3 = 77-89% of backlog; systemic retrenchment is existential; (2) GPU oversupply 2027-28 — TSMC CoWoS doubling + $400B+ hyperscaler capex + 4 custom silicon programs converge; H100 pricing already crashed 64%; (3) Leverage — 5.65x net leverage with 0.35x covenant headroom; FY2026 H2 still needs $8-12B funding; CDS 665bps implies 42% 5yr default probability.</t>
  </si>
  <si>
    <t>Decision Framework: Q1 FY2026 margin recovery (May earnings) = increase position. Q1 margin miss = reduce. Covenant headroom &lt;0.15x = exit immediately. Position sizing: 3-5% for high-risk growth, 1-2% balanced, 0-0.5% conservative. Capital-intensive D&amp;A-heavy model caps mature valuation at AerCap 6-8x (not Equinix 20x).</t>
  </si>
  <si>
    <t>Scenario Summary (FY2027E): Bull $326 (20%) | Base $155 (40%) | Bear $47 (25%) | Distress $0 (10%). Weighted ~$139 (+17%). 12-month discounted at 15% CoE: ~$121, aligning with analyst consensus $120-125.</t>
  </si>
  <si>
    <t>2. FINANCIAL HIGHLIGHTS</t>
  </si>
  <si>
    <t>Metric</t>
  </si>
  <si>
    <t>FY2023</t>
  </si>
  <si>
    <t>FY2024</t>
  </si>
  <si>
    <t>FY2025</t>
  </si>
  <si>
    <t>FY2026E</t>
  </si>
  <si>
    <t>FY2027E</t>
  </si>
  <si>
    <t>FY2028E</t>
  </si>
  <si>
    <t>FY2029E</t>
  </si>
  <si>
    <t>FY2030E</t>
  </si>
  <si>
    <t>Revenue ($M)</t>
  </si>
  <si>
    <t>YoY Growth %</t>
  </si>
  <si>
    <t>Gross Profit ($M)</t>
  </si>
  <si>
    <t>Gross Margin %</t>
  </si>
  <si>
    <t>EBITDA ($M)</t>
  </si>
  <si>
    <t>EBITDA Margin %</t>
  </si>
  <si>
    <t>Operating Income ($M)</t>
  </si>
  <si>
    <t>Operating Margin %</t>
  </si>
  <si>
    <t>Net Income ($M)</t>
  </si>
  <si>
    <t>NI Margin %</t>
  </si>
  <si>
    <t>EPS (Basic)</t>
  </si>
  <si>
    <t>Total Assets ($M)</t>
  </si>
  <si>
    <t>N/A</t>
  </si>
  <si>
    <t>Total Debt ($M)</t>
  </si>
  <si>
    <t>Net Debt ($M)</t>
  </si>
  <si>
    <t>Stockholders' Equity ($M)</t>
  </si>
  <si>
    <t>Cash &amp; Equivalents ($M)</t>
  </si>
  <si>
    <t>CFO ($M)</t>
  </si>
  <si>
    <t>Capex ($M)</t>
  </si>
  <si>
    <t>FCF ($M)</t>
  </si>
  <si>
    <t>ROIC %</t>
  </si>
  <si>
    <t>ROE %</t>
  </si>
  <si>
    <t>ROA %</t>
  </si>
  <si>
    <t>Net Debt / EBITDA</t>
  </si>
  <si>
    <t>Revenue trajectory: $229M (FY23) → $5.1B (FY25) → $12.5B (FY26E) → $25B (FY30E). Near-term RPO-backed and near-certain; FY28+ dependent on $20-25B/yr new backlog (FY25's $50B net-new was a first-signing effect, not repeatable). 2030+ annualized RPO drops to ~$3.3B without new contracts — a revenue cliff risk.</t>
  </si>
  <si>
    <t>Margin outlook: Gross margin peaks ~72% (FY25) then normalizes to 66% by FY30E on GPU price pressure. EBITDA ~60% but excludes D&amp;A — after $2.1B D&amp;A, FY25 EBIT was -$0.24B. GAAP profitability requires $19-20B revenue (FY27E earliest, narrow window). Investment thesis must be EBITDA-based, not GAAP earnings.</t>
  </si>
  <si>
    <t>Capital allocation: Capex peaks $20B (FY26E cash basis) then decelerates to $10B by FY30E. FCF remains deeply negative through FY27 (-$7B to -$17B); earliest positive FY28-29. Until then, all equity returns are multiple-expansion dependent — no capital return capacity.</t>
  </si>
  <si>
    <t>Leverage: Net Debt/EBITDA 5.65x with only 0.35x covenant headroom. Peaks ~3.5x (FY27E) and deleverages to &lt;2x by FY30E — but this path requires EBITDA scaling as planned. Forced equity shift FY27+ → 18-25% cumulative dilution. CDS 665bps reflects market's assessment of credit risk.</t>
  </si>
  <si>
    <t>3. CORE ASSUMPTIONS &amp; KPI MONITORING</t>
  </si>
  <si>
    <t>Key Model Assumptions:</t>
  </si>
  <si>
    <t>Revenue: FY26E $12.5B (+144% YoY) driven by backlog conversion + MSFT/NVIDIA contract ramp. Decelerates to +4% by FY30E as base effect + market maturation.</t>
  </si>
  <si>
    <t>Gross Margin: 70% (FY26E) → 66% (FY30E). Near-term supported by take-or-pay pricing; long-term compression from GPU commoditization + next-gen transition costs.</t>
  </si>
  <si>
    <t>OpEx: Tech &amp; Infra 8% of rev (FY26E), S&amp;M 2%, G&amp;A 3%. SBC normalizes from $1B (FY26E) to $800M (FY30E) post-IPO vesting cliff.</t>
  </si>
  <si>
    <t>D&amp;A: $4.5B (FY26E) → $5.5B (FY30E). 15% depreciation rate on massive PP&amp;E base ($30.6B FY25 → $45B+ FY30E).</t>
  </si>
  <si>
    <t>Capex: $20B (FY26E) peak → $10B (FY30E) as initial buildout completes. Includes GPU refresh cycles and data center expansion.</t>
  </si>
  <si>
    <t>Interest Expense: $2.5B (FY26E) peak → $1.8B (FY30E). Debt peaks ~$35B (FY27-28E), then deleverages.</t>
  </si>
  <si>
    <t>Tax Rate: 0% near-term (NOL carryforwards); 5% by FY30E as cumulative profits exhaust tax shields.</t>
  </si>
  <si>
    <t>Company Disclosed KPIs (monitor quarterly):</t>
  </si>
  <si>
    <t>Remaining Performance Obligations (RPO): $60.7B as of FY2025. Track conversion rate and new additions quarterly.</t>
  </si>
  <si>
    <t>Total Backlog: $87.8B. Includes RPO + unsigned pipeline. Key leading indicator for FY27+ revenue.</t>
  </si>
  <si>
    <t>Active Power Capacity: 850MW (FY25) → &gt;1.7GW (FY26E guidance). Infrastructure scaling metric.</t>
  </si>
  <si>
    <t>GPU Fleet Size: ~600K GPUs (FY25). Track additions and utilization rates.</t>
  </si>
  <si>
    <t>Customer Concentration: Microsoft ~62% of FY25 revenue. Monitor diversification progress (IBM, Meta, etc.).</t>
  </si>
  <si>
    <t>Net Revenue Retention Rate: Not yet disclosed post-IPO. Track for churn/expansion signals.</t>
  </si>
  <si>
    <t>Metrics to Monitor (assumption validation triggers):</t>
  </si>
  <si>
    <t>Revenue per quarter vs model — watch for contract delays or acceleration</t>
  </si>
  <si>
    <t>Gross margin trend — GPU price declines, power costs, utilization rate</t>
  </si>
  <si>
    <t>Interest expense — refinancing terms, new debt issuance pricing, spread compression</t>
  </si>
  <si>
    <t>Capex execution vs plan — construction delays affect capacity ramp timeline</t>
  </si>
  <si>
    <t>CDS spread trajectory — currently 665bps; improvement signals credit de-risking</t>
  </si>
  <si>
    <t>Competitive pricing moves by AWS/Azure/GCP — impact on contract renewal terms</t>
  </si>
  <si>
    <t>NVIDIA GPU roadmap (Blackwell → next gen) — technology transition risk and capex timing</t>
  </si>
  <si>
    <t>Sell-side consensus revisions — directional check on revenue/margin trajectory</t>
  </si>
  <si>
    <t>4. SHAREHOLDING &amp; CAPITAL STRUCTURE</t>
  </si>
  <si>
    <t>Shareholder / Type</t>
  </si>
  <si>
    <t>Ownership %</t>
  </si>
  <si>
    <t>Notes</t>
  </si>
  <si>
    <t>Michael Intrator (CEO/Co-Founder)</t>
  </si>
  <si>
    <t>~15%</t>
  </si>
  <si>
    <t>Class B shares, supervoting</t>
  </si>
  <si>
    <t>Brian Venturo (CTO/Co-Founder)</t>
  </si>
  <si>
    <t>~10%</t>
  </si>
  <si>
    <t>Class B shares</t>
  </si>
  <si>
    <t>Brannin McBee (CSO/Co-Founder)</t>
  </si>
  <si>
    <t>~8%</t>
  </si>
  <si>
    <t>Magnetar Capital (PE)</t>
  </si>
  <si>
    <t>~12%</t>
  </si>
  <si>
    <t>Early investor; secondary sales in progress</t>
  </si>
  <si>
    <t>Coatue Management</t>
  </si>
  <si>
    <t>~5%</t>
  </si>
  <si>
    <t>Growth equity investor</t>
  </si>
  <si>
    <t>NVIDIA (Strategic)</t>
  </si>
  <si>
    <t>~1%</t>
  </si>
  <si>
    <t>Strategic partnership investment</t>
  </si>
  <si>
    <t>Public Float (post-IPO)</t>
  </si>
  <si>
    <t>~49%</t>
  </si>
  <si>
    <t>IPO Mar 2025: 49M shares at $40; ~$2B raised</t>
  </si>
  <si>
    <t>Debt Summary (FY2025):</t>
  </si>
  <si>
    <t>Total Debt: ~$29.8B (ST $8.2B + LT $21.6B)</t>
  </si>
  <si>
    <t>Net Debt: ~$25.8B (after $4.0B cash)</t>
  </si>
  <si>
    <t>Key Facilities: Secured notes, equipment financing, revolving credit facilities</t>
  </si>
  <si>
    <t>Weighted Avg Cost: ~4.5-6% blended (secured/unsecured mix)</t>
  </si>
  <si>
    <t>CDS Spread: 665bps (elevated — reflects high leverage and growth-stage risk)</t>
  </si>
  <si>
    <t>IPO: March 2025, 49M shares at $40/share, raised ~$1.96B net proceeds</t>
  </si>
  <si>
    <t>ESOP: ~10% dilution expected from post-IPO RSU vesting over 3-4 years</t>
  </si>
  <si>
    <t>5. UPCOMING CATALYSTS (Next 2-4 Quarters)</t>
  </si>
  <si>
    <t>Date / Period</t>
  </si>
  <si>
    <t>Catalyst</t>
  </si>
  <si>
    <t>Impact on Model</t>
  </si>
  <si>
    <t>Probability</t>
  </si>
  <si>
    <t>Q1 2026 (May)</t>
  </si>
  <si>
    <t>First post-IPO quarterly earnings</t>
  </si>
  <si>
    <t>Validates FY26E rev run-rate + margin trajectory</t>
  </si>
  <si>
    <t>Certain</t>
  </si>
  <si>
    <t>Q2 2026 (Aug)</t>
  </si>
  <si>
    <t>Q2 earnings + updated guidance</t>
  </si>
  <si>
    <t>Tests $12-13B annual revenue path</t>
  </si>
  <si>
    <t>H2 2026</t>
  </si>
  <si>
    <t>NVIDIA Blackwell/GB300 deployment ramp</t>
  </si>
  <si>
    <t>Validates capex efficiency + next-gen GPU transition</t>
  </si>
  <si>
    <t>High</t>
  </si>
  <si>
    <t>New customer contract announcements</t>
  </si>
  <si>
    <t>Diversification away from MSFT concentration</t>
  </si>
  <si>
    <t>Medium</t>
  </si>
  <si>
    <t>FY2026</t>
  </si>
  <si>
    <t>First investment-grade credit rating review</t>
  </si>
  <si>
    <t>If achieved: lower borrowing costs → model NI upside</t>
  </si>
  <si>
    <t>FY2026-27</t>
  </si>
  <si>
    <t>Power capacity expansion to &gt;1.7GW</t>
  </si>
  <si>
    <t>Validates infrastructure scaling assumptions</t>
  </si>
  <si>
    <t>FY2027</t>
  </si>
  <si>
    <t>Potential GAAP profitability inflection</t>
  </si>
  <si>
    <t>Key sentiment catalyst for equity re-rating</t>
  </si>
  <si>
    <t>FY2027-28</t>
  </si>
  <si>
    <t>Debt refinancing at lower spreads</t>
  </si>
  <si>
    <t>If CDS tightens: interest expense reduction</t>
  </si>
  <si>
    <t>6. KEY RISKS</t>
  </si>
  <si>
    <t>Risk</t>
  </si>
  <si>
    <t>Severity</t>
  </si>
  <si>
    <t>Mitigation / Monitoring</t>
  </si>
  <si>
    <t>Customer concentration: Microsoft ~62% of FY25 revenue</t>
  </si>
  <si>
    <t>H</t>
  </si>
  <si>
    <t>Track quarterly revenue mix; new customer wins (IBM, Meta, CoreWeave Cloud)</t>
  </si>
  <si>
    <t>Leverage risk: $30B+ debt, CDS 665bps, BB-rated</t>
  </si>
  <si>
    <t>Monitor Net Debt/EBITDA trajectory; refinancing terms; interest coverage</t>
  </si>
  <si>
    <t>NVIDIA dependency: Single GPU supplier for core fleet</t>
  </si>
  <si>
    <t>Watch AMD MI300X adoption; NVIDIA allocation dynamics; custom silicon roadmap</t>
  </si>
  <si>
    <t>GPU technology transition: Hopper→Blackwell→next gen</t>
  </si>
  <si>
    <t>M</t>
  </si>
  <si>
    <t>Track depreciation adequacy; GPU utilization on older gens; write-down risk</t>
  </si>
  <si>
    <t>Competitive pricing pressure from hyperscalers</t>
  </si>
  <si>
    <t>AWS/Azure/GCP pricing moves; neocloud peer pricing; contract renewal terms</t>
  </si>
  <si>
    <t>Execution risk: Data center buildout at unprecedented scale</t>
  </si>
  <si>
    <t>Track power capacity milestones; construction timelines; COD delays</t>
  </si>
  <si>
    <t>Capital markets access: Continued debt/equity raises needed</t>
  </si>
  <si>
    <t>Monitor credit spreads, equity dilution, IPO lock-up expirations</t>
  </si>
  <si>
    <t>Regulatory risk: AI regulation, data center power/permitting</t>
  </si>
  <si>
    <t>L</t>
  </si>
  <si>
    <t>Track federal/state AI policy; ESG/carbon disclosure requirements</t>
  </si>
  <si>
    <t>7. MARKET &amp; COMPETITIVE LANDSCAPE</t>
  </si>
  <si>
    <t>TAM: Global GPU cloud infrastructure market estimated at $50-80B (2025), growing 35-45% CAGR through 2030 (sources: IDC, Gartner, Goldman Sachs).</t>
  </si>
  <si>
    <t>Market Structure: Oligopolistic — dominated by hyperscalers (AWS, Azure, GCP) with emerging neocloud segment (CoreWeave, Lambda, Together AI).</t>
  </si>
  <si>
    <t>Competitive Positioning:</t>
  </si>
  <si>
    <t xml:space="preserve">  Hyperscalers (AWS/Azure/GCP): Broadest cloud portfolio; GPU as one of many services. Higher prices but integrated ecosystem.</t>
  </si>
  <si>
    <t xml:space="preserve">  CoreWeave: Pure-play GPU cloud; purpose-built infra; lower cost/GPU-hour; preferred NVIDIA partner. First-mover in dedicated GPU cloud at scale.</t>
  </si>
  <si>
    <t xml:space="preserve">  Lambda Labs: Smaller GPU cloud (~$400M rev); consumer/researcher focus; less enterprise penetration.</t>
  </si>
  <si>
    <t xml:space="preserve">  Together AI: AI model training platform; smaller scale; more software-oriented.</t>
  </si>
  <si>
    <t xml:space="preserve">  On-premise/custom (Meta, xAI): Large AI labs building own GPU clusters; not competing for external workloads.</t>
  </si>
  <si>
    <t>CoreWeave Moat Assessment (Current → 5yr):</t>
  </si>
  <si>
    <t xml:space="preserve">  Scale: HIGH → MEDIUM — 600K GPUs, 28 DCs, 850MW. Largest independent GPU cloud today; but Nebius (2GW contracted), Crusoe (4.5GW) scaling fast.</t>
  </si>
  <si>
    <t xml:space="preserve">  NVIDIA Partnership: HIGH → LOW — Preferred partner + $2B equity, but non-exclusive ($2B in Nebius too). TSMC CoWoS doubling removes packaging bottleneck; custom silicon (Maia, TPU, Trainium) erodes NVIDIA centrality.</t>
  </si>
  <si>
    <t xml:space="preserve">  Switching Costs: MEDIUM → LOW — Training workloads (high friction, TB checkpoints) vs inference (stateless, multi-cloud trivial). As inference rises from 33% to 67%+ of TAM, aggregate switching cost declines.</t>
  </si>
  <si>
    <t xml:space="preserve">  IP/Software: MEDIUM → MEDIUM — W&amp;B ($1.7B), storage ARR &gt;$100M, CoreWeave Cloud OS. Only moat dimension that improves over time; ecosystem integration is the hedge against commoditization.</t>
  </si>
  <si>
    <t xml:space="preserve">  Weighted Composite: 4/5 (current) → 2/5 (5yr). All pricing sources except ecosystem integration are time-decaying assets. This is a 3-year growth trade — returns must be captured before moat erodes.</t>
  </si>
  <si>
    <t>Key Competitive Threats:</t>
  </si>
  <si>
    <t xml:space="preserve">  Hyperscaler GPU price compression — margin erosion if AWS/Azure match CoreWeave pricing</t>
  </si>
  <si>
    <t xml:space="preserve">  Custom silicon (Google TPU, Amazon Trainium/Inferentia) — reduces NVIDIA dependency for some workloads</t>
  </si>
  <si>
    <t xml:space="preserve">  Commoditization of GPU compute — as supply scales, differentiation shifts to software/orchestration layer</t>
  </si>
  <si>
    <t>CoreWeave (CRWV) — Model Assumptions</t>
  </si>
  <si>
    <t>Navy text = model inputs (editable). All forecast IS/BS/CF cells reference this tab.</t>
  </si>
  <si>
    <t>Assumption</t>
  </si>
  <si>
    <t>Basis / Notes</t>
  </si>
  <si>
    <t>REVENUE</t>
  </si>
  <si>
    <t>FY26: mid guidance; FY27: base case memo; FY28-30: decel</t>
  </si>
  <si>
    <t>Revenue YoY %</t>
  </si>
  <si>
    <t>FY26: 143.6%; deceleration path</t>
  </si>
  <si>
    <t>COST OF REVENUE &amp; GROSS MARGIN</t>
  </si>
  <si>
    <t>FY25: 71.7%; pressure from GPU price decline 2028+</t>
  </si>
  <si>
    <t>COGS ($M)</t>
  </si>
  <si>
    <t>OPERATING EXPENSES</t>
  </si>
  <si>
    <t>Tech &amp; Infra % of Rev</t>
  </si>
  <si>
    <t>FY25: 57.1%; declining with scale</t>
  </si>
  <si>
    <t>Sales &amp; Marketing % of Rev</t>
  </si>
  <si>
    <t>FY25: 2.8%; stable</t>
  </si>
  <si>
    <t>G&amp;A % of Rev</t>
  </si>
  <si>
    <t>FY25: 12.7% (incl SBC); normalize</t>
  </si>
  <si>
    <t>D&amp;A / SBC / BELOW-LINE</t>
  </si>
  <si>
    <t>D&amp;A ($M)</t>
  </si>
  <si>
    <t>PP&amp;E growth driven; 6yr GPU life</t>
  </si>
  <si>
    <t>SBC ($M)</t>
  </si>
  <si>
    <t>FY25: $630M incl $177M one-time; normalize ~$800M+</t>
  </si>
  <si>
    <t>Interest Expense ($M)</t>
  </si>
  <si>
    <t>Memo mid $2.4B FY26; peaks FY27 then declines w/ deleverage</t>
  </si>
  <si>
    <t>Fair Value Adj ($M)</t>
  </si>
  <si>
    <t>One-time items; assume nil forecast</t>
  </si>
  <si>
    <t>Other Income ($M)</t>
  </si>
  <si>
    <t>Stable ~$30M</t>
  </si>
  <si>
    <t>Tax Rate %</t>
  </si>
  <si>
    <t>FY25: benefit; normalize to 15-18% as profitable</t>
  </si>
  <si>
    <t>BALANCE SHEET — WORKING CAPITAL</t>
  </si>
  <si>
    <t>AR Days</t>
  </si>
  <si>
    <t>FY25: 225d (extreme growth effect); normalize</t>
  </si>
  <si>
    <t>Prepaid &amp; Other CA ($M)</t>
  </si>
  <si>
    <t>Growth with revenue</t>
  </si>
  <si>
    <t>AP Days (of COGS)</t>
  </si>
  <si>
    <t>FY25: 408d (GPU purchase lag); normalize</t>
  </si>
  <si>
    <t>Accrued Liabilities ($M)</t>
  </si>
  <si>
    <t>FY25: $5,773M; growth with ops scale</t>
  </si>
  <si>
    <t>Deferred Revenue Current ($M)</t>
  </si>
  <si>
    <t>RPO conversion; FY25: $1,709M</t>
  </si>
  <si>
    <t>Other Current Liab ($M)</t>
  </si>
  <si>
    <t>Lease + other; FY25: $627M</t>
  </si>
  <si>
    <t>Deferred Revenue NC ($M)</t>
  </si>
  <si>
    <t>RPO backlog; FY25: $6,476M</t>
  </si>
  <si>
    <t>BALANCE SHEET — PP&amp;E &amp; INTANGIBLES</t>
  </si>
  <si>
    <t>Capex Cash ($M)</t>
  </si>
  <si>
    <t>Memo: $23-25B cash FY26; decel path</t>
  </si>
  <si>
    <t>PP&amp;E Depreciation Rate %</t>
  </si>
  <si>
    <t>~6yr life = ~17%; ramp as fleet matures</t>
  </si>
  <si>
    <t>Intangibles Net ($M)</t>
  </si>
  <si>
    <t>W&amp;B amortization; FY25: $235M</t>
  </si>
  <si>
    <t>Goodwill ($M)</t>
  </si>
  <si>
    <t>No impairment assumed; FY25: $1,101M</t>
  </si>
  <si>
    <t>ROU Assets ($M)</t>
  </si>
  <si>
    <t>DC lease expansion; FY25: $8,231M</t>
  </si>
  <si>
    <t>Other Non-Current Assets ($M)</t>
  </si>
  <si>
    <t>Restricted cash + other; FY25: $1,690M</t>
  </si>
  <si>
    <t>BALANCE SHEET — LIABILITIES</t>
  </si>
  <si>
    <t>Debt Current ($M)</t>
  </si>
  <si>
    <t>Current portion; FY25: $6,708M</t>
  </si>
  <si>
    <t>Debt Non-Current ($M)</t>
  </si>
  <si>
    <t>Peak FY27-28 then deleverage; FY25: $14,665M</t>
  </si>
  <si>
    <t>Lease Liab NC ($M)</t>
  </si>
  <si>
    <t>~= ROU assets; FY25: $7,984M</t>
  </si>
  <si>
    <t>Other NCL ($M)</t>
  </si>
  <si>
    <t>Stable; FY25: $402M</t>
  </si>
  <si>
    <t>BALANCE SHEET — EQUITY</t>
  </si>
  <si>
    <t>Equity Issuance ($M)</t>
  </si>
  <si>
    <t>Shift to equity; Memo 60/40 debt/equity FY27+</t>
  </si>
  <si>
    <t>Shares Outstanding (M)</t>
  </si>
  <si>
    <t>FY25: 525.7M; dilution ~3-5% pa from converts+SBC</t>
  </si>
  <si>
    <t>Dividends ($M)</t>
  </si>
  <si>
    <t>No dividends expected</t>
  </si>
  <si>
    <t>CASH FLOW</t>
  </si>
  <si>
    <t>Net Debt Proceeds ($M)</t>
  </si>
  <si>
    <t>Debt proceeds - repayments; deleverage FY29+</t>
  </si>
  <si>
    <t>Other Financing ($M)</t>
  </si>
  <si>
    <t>Lease payments + other; FY25: -$633M</t>
  </si>
  <si>
    <t>Acquisitions ($M)</t>
  </si>
  <si>
    <t>No major M&amp;A assumed</t>
  </si>
  <si>
    <t>Other Investing ($M)</t>
  </si>
  <si>
    <t>Net zero assumed</t>
  </si>
  <si>
    <t>WC Other Non-Cash ($M)</t>
  </si>
  <si>
    <t>Decreasing as operations stabilize; FY25: $509M</t>
  </si>
  <si>
    <t>REVENUE BUILD-UP</t>
  </si>
  <si>
    <t>GPU Fleet Size (K units)</t>
  </si>
  <si>
    <t>FY25: ~600K; growth from DC expansion + GPU refresh</t>
  </si>
  <si>
    <t>Blended ARPU ($/GPU/yr, $K)</t>
  </si>
  <si>
    <t>Back-solved; H100 ~$37K, GB200 NVL72 higher, fleet mix shift</t>
  </si>
  <si>
    <t>Contract Coverage %</t>
  </si>
  <si>
    <t>Take-or-pay: ~98% FY25; gradual normalization</t>
  </si>
  <si>
    <t>Implied Revenue ($M)</t>
  </si>
  <si>
    <t>Fleet x ARPU x Coverage</t>
  </si>
  <si>
    <t>Top-Down Revenue ($M)</t>
  </si>
  <si>
    <t>Revenue Reconciliation (Top-Down - Bottom-Up)</t>
  </si>
  <si>
    <t>Should be near zero</t>
  </si>
  <si>
    <t>RPO CONVERSION SCHEDULE</t>
  </si>
  <si>
    <t>RPO FY2025 Year-End ($M)</t>
  </si>
  <si>
    <t>$60.7B firm RPO (10-K)</t>
  </si>
  <si>
    <t xml:space="preserve">  0-24mo recognition (FY26-27, $M)</t>
  </si>
  <si>
    <t>43% of RPO</t>
  </si>
  <si>
    <t xml:space="preserve">  25-48mo recognition (FY28-29, $M)</t>
  </si>
  <si>
    <t>38% of RPO</t>
  </si>
  <si>
    <t xml:space="preserve">  49-84mo recognition (FY30-32, $M)</t>
  </si>
  <si>
    <t>19% of RPO</t>
  </si>
  <si>
    <t>Annual RPO Contribution, est ($M/yr)</t>
  </si>
  <si>
    <t>Smoothed within recognition bands</t>
  </si>
  <si>
    <t>CUSTOMER REVENUE BREAKDOWN (est, $M)</t>
  </si>
  <si>
    <t>Microsoft</t>
  </si>
  <si>
    <t>67% FY25 → &lt;20% FY30; contract declining</t>
  </si>
  <si>
    <t>Meta</t>
  </si>
  <si>
    <t>$35.2B contract to 2032; ramp phase</t>
  </si>
  <si>
    <t>OpenAI</t>
  </si>
  <si>
    <t>$22.4B contract to 2031; plateauing</t>
  </si>
  <si>
    <t>Anthropic</t>
  </si>
  <si>
    <t>Fastest growing; large upside potential</t>
  </si>
  <si>
    <t>Others (Enterprise/Sovereign)</t>
  </si>
  <si>
    <t>Jane Street $6B + Level42 $4.8B + SMB</t>
  </si>
  <si>
    <t>Customer Total ($M)</t>
  </si>
  <si>
    <t>Sum of customer estimates</t>
  </si>
  <si>
    <t>vs Top-Down Revenue ($M)</t>
  </si>
  <si>
    <t>Gap analysis (top-down vs bottom-up)</t>
  </si>
  <si>
    <t>CoreWeave, Inc. (CRWV) — Income Statement</t>
  </si>
  <si>
    <t>US GAAP | Units: $M | Annual</t>
  </si>
  <si>
    <t>Total Revenue</t>
  </si>
  <si>
    <t>FY26: mid guidance $12.5B; FY27: base case $20B</t>
  </si>
  <si>
    <t xml:space="preserve">  ↳ Revenue YoY %</t>
  </si>
  <si>
    <t>FY25: +168%; decelerating</t>
  </si>
  <si>
    <t>REV CHECK (Model - Source)</t>
  </si>
  <si>
    <t>Must = 0 for all historical periods</t>
  </si>
  <si>
    <t>COST OF REVENUE &amp; GROSS PROFIT</t>
  </si>
  <si>
    <t>Cost of Revenue</t>
  </si>
  <si>
    <t>Forecast: Rev × (1 - GM%)</t>
  </si>
  <si>
    <t>Gross Profit</t>
  </si>
  <si>
    <t xml:space="preserve">  ↳ Gross Margin %</t>
  </si>
  <si>
    <t>FY25: 71.7%; forecast: 70%→66% on GPU price pressure</t>
  </si>
  <si>
    <t>Technology &amp; Infrastructure</t>
  </si>
  <si>
    <t>Incl R&amp;D; FY25: 57.1% of rev → declining with scale</t>
  </si>
  <si>
    <t>Sales &amp; Marketing</t>
  </si>
  <si>
    <t>FY25: 2.8% of rev; stable</t>
  </si>
  <si>
    <t>General &amp; Administrative</t>
  </si>
  <si>
    <t>FY25: 12.7% (incl SBC); normalizing</t>
  </si>
  <si>
    <t>Total Operating Expenses (excl COGS)</t>
  </si>
  <si>
    <t xml:space="preserve">  ↳ OpEx % of Revenue</t>
  </si>
  <si>
    <t>Target: declining with scale</t>
  </si>
  <si>
    <t>OPERATING INCOME</t>
  </si>
  <si>
    <t>Operating Income (Loss)</t>
  </si>
  <si>
    <t xml:space="preserve">  ↳ Operating Margin %</t>
  </si>
  <si>
    <t>FY25: -0.9%; improving with scale</t>
  </si>
  <si>
    <t>BELOW THE LINE</t>
  </si>
  <si>
    <t>Fair Value Adj Gain/(Loss)</t>
  </si>
  <si>
    <t>Warrant/derivative; assume nil forecast</t>
  </si>
  <si>
    <t>Interest Expense, net</t>
  </si>
  <si>
    <t>Memo: peaks FY27 $2.8B then declines; shown as negative</t>
  </si>
  <si>
    <t>Other Income, net</t>
  </si>
  <si>
    <t>Income (Loss) Before Tax</t>
  </si>
  <si>
    <t>Income Tax Provision/(Benefit)</t>
  </si>
  <si>
    <t>FY25: benefit; normalizing to 15-18%</t>
  </si>
  <si>
    <t xml:space="preserve">  ↳ Effective Tax Rate %</t>
  </si>
  <si>
    <t>Normalizing from benefit to ~18%</t>
  </si>
  <si>
    <t>NET INCOME</t>
  </si>
  <si>
    <t>Net Income (Loss)</t>
  </si>
  <si>
    <t xml:space="preserve">  ↳ Net Income Margin %</t>
  </si>
  <si>
    <t>GAAP profitability expected FY2027+ bull case</t>
  </si>
  <si>
    <t>NI CHECK (Model - Source)</t>
  </si>
  <si>
    <t>Attr. to Common Stockholders</t>
  </si>
  <si>
    <t>Attr. to NCI</t>
  </si>
  <si>
    <t>No NCI reported in CoreWeave 10-K</t>
  </si>
  <si>
    <t>MEMO ITEMS</t>
  </si>
  <si>
    <t>D&amp;A (Depreciation &amp; Amortization)</t>
  </si>
  <si>
    <t>PP&amp;E + intangible; 6yr GPU life; from CF supplement</t>
  </si>
  <si>
    <t>Stock-Based Compensation</t>
  </si>
  <si>
    <t>FY25: $630M incl $177M IPO one-time</t>
  </si>
  <si>
    <t>Adj. EBITDA</t>
  </si>
  <si>
    <t xml:space="preserve">  ↳ EBITDA Margin %</t>
  </si>
  <si>
    <t>FY25: 60.2%; Memo: target 55-60%</t>
  </si>
  <si>
    <t>Basic EPS; diluted would be lower</t>
  </si>
  <si>
    <t>CoreWeave, Inc. (CRWV) — Balance Sheet</t>
  </si>
  <si>
    <t>CURRENT ASSETS</t>
  </si>
  <si>
    <t>Cash &amp; Equivalents</t>
  </si>
  <si>
    <t>Accounts Receivable, net</t>
  </si>
  <si>
    <t>Prepaid &amp; Other Current</t>
  </si>
  <si>
    <t>Growth with revenue scale</t>
  </si>
  <si>
    <t>Total Current Assets</t>
  </si>
  <si>
    <t>NON-CURRENT ASSETS</t>
  </si>
  <si>
    <t>PP&amp;E, net</t>
  </si>
  <si>
    <t>Intangible Assets, net</t>
  </si>
  <si>
    <t>W&amp;B amortization; declining</t>
  </si>
  <si>
    <t>Goodwill</t>
  </si>
  <si>
    <t>Flat unless impairment; W&amp;B $1.1B</t>
  </si>
  <si>
    <t>ROU Assets (Operating Lease)</t>
  </si>
  <si>
    <t>DC lease expansion; FY25: $8.2B</t>
  </si>
  <si>
    <t>Other Non-Current Assets</t>
  </si>
  <si>
    <t>Restricted cash + other</t>
  </si>
  <si>
    <t>Total Non-Current Assets</t>
  </si>
  <si>
    <t>TOTAL ASSETS</t>
  </si>
  <si>
    <t>CURRENT LIABILITIES</t>
  </si>
  <si>
    <t>Accounts Payable</t>
  </si>
  <si>
    <t>Accrued Liabilities</t>
  </si>
  <si>
    <t>Growth with operations scale</t>
  </si>
  <si>
    <t>Debt, current</t>
  </si>
  <si>
    <t>Current portion of LT debt</t>
  </si>
  <si>
    <t>Deferred Revenue, current</t>
  </si>
  <si>
    <t>RPO conversion; take-or-pay</t>
  </si>
  <si>
    <t>Other Current Liabilities</t>
  </si>
  <si>
    <t>Lease + other</t>
  </si>
  <si>
    <t>Total Current Liabilities</t>
  </si>
  <si>
    <t>NON-CURRENT LIABILITIES</t>
  </si>
  <si>
    <t>Debt, non-current</t>
  </si>
  <si>
    <t>Peak FY27-28 then deleverage</t>
  </si>
  <si>
    <t>Deferred Revenue, non-current</t>
  </si>
  <si>
    <t>Long-term RPO backlog</t>
  </si>
  <si>
    <t>Lease Liabilities, non-current</t>
  </si>
  <si>
    <t>~= ROU assets</t>
  </si>
  <si>
    <t>Other Non-Current Liabilities</t>
  </si>
  <si>
    <t>Stable ~$500M</t>
  </si>
  <si>
    <t>Total Non-Current Liabilities</t>
  </si>
  <si>
    <t>TOTAL LIABILITIES</t>
  </si>
  <si>
    <t>STOCKHOLDERS' EQUITY</t>
  </si>
  <si>
    <t>Mezzanine Equity (Redeemable Pref)</t>
  </si>
  <si>
    <t>Converted at IPO March 2025; 0 thereafter</t>
  </si>
  <si>
    <t>Treasury Stock</t>
  </si>
  <si>
    <t>Flat at -$34M</t>
  </si>
  <si>
    <t>Additional Paid-In Capital (APIC)</t>
  </si>
  <si>
    <t>Accumulated Deficit</t>
  </si>
  <si>
    <t>Total Stockholders' Equity</t>
  </si>
  <si>
    <t>Non-Controlling Interest</t>
  </si>
  <si>
    <t>No NCI reported per 10-K</t>
  </si>
  <si>
    <t>TOTAL LIABILITIES + EQUITY</t>
  </si>
  <si>
    <t>BS CHECK (TA - TLE)</t>
  </si>
  <si>
    <t>CoreWeave, Inc. (CRWV) — Cash Flow Statement</t>
  </si>
  <si>
    <t>US GAAP | Units: $M | Annual | Indirect Method</t>
  </si>
  <si>
    <t>OPERATING ACTIVITIES</t>
  </si>
  <si>
    <t>Depreciation &amp; Amortization</t>
  </si>
  <si>
    <t xml:space="preserve">  Δ AR (asset ↑ = cash out)</t>
  </si>
  <si>
    <t xml:space="preserve">  Δ Prepaid &amp; Other (asset ↑ = cash out)</t>
  </si>
  <si>
    <t xml:space="preserve">  Δ AP (liab ↑ = cash in)</t>
  </si>
  <si>
    <t xml:space="preserve">  Δ Accrued Liabilities (liab ↑ = cash in)</t>
  </si>
  <si>
    <t xml:space="preserve">  Δ Deferred Revenue (liab ↑ = cash in)</t>
  </si>
  <si>
    <t>Working Capital Changes (Total)</t>
  </si>
  <si>
    <t>Hist: Raw_Info aggregate; Fcst: sum of Δ rows</t>
  </si>
  <si>
    <t>Other Non-Cash Items</t>
  </si>
  <si>
    <t>FV adj, other; declining as ops stabilize</t>
  </si>
  <si>
    <t>Non-Cash Adj — Others (R3 Plug)</t>
  </si>
  <si>
    <t>R3 plug; forecast formula written after CFI/CFF</t>
  </si>
  <si>
    <t>CFO Total</t>
  </si>
  <si>
    <t>INVESTING ACTIVITIES</t>
  </si>
  <si>
    <t>Capex (PP&amp;E purchases)</t>
  </si>
  <si>
    <t>Cash capex; shown as negative</t>
  </si>
  <si>
    <t>Acquisitions</t>
  </si>
  <si>
    <t>No major M&amp;A assumed forecast</t>
  </si>
  <si>
    <t>Other Investing</t>
  </si>
  <si>
    <t>Net zero assumed forecast</t>
  </si>
  <si>
    <t>CFI Total</t>
  </si>
  <si>
    <t>FINANCING ACTIVITIES</t>
  </si>
  <si>
    <t>Net Debt Proceeds/(Repayments)</t>
  </si>
  <si>
    <t>Equity Issuance</t>
  </si>
  <si>
    <t>IPO + strategic investments</t>
  </si>
  <si>
    <t>Other Financing</t>
  </si>
  <si>
    <t>Lease payments + other</t>
  </si>
  <si>
    <t>CFF Total</t>
  </si>
  <si>
    <t>CASH RECONCILIATION</t>
  </si>
  <si>
    <t>Net Change in Cash</t>
  </si>
  <si>
    <t>Beginning Cash</t>
  </si>
  <si>
    <t>Ending Cash</t>
  </si>
  <si>
    <t>Incl restricted cash per 10-K CF reconciliation</t>
  </si>
  <si>
    <t>CF CHECK (Ending Cash - BS Cash)</t>
  </si>
  <si>
    <t>Hist gap ≡ restricted cash (CF incl, BS excl); Forecast ≡ 0 by construction</t>
  </si>
  <si>
    <t>FREE CASH FLOW (MEMO)</t>
  </si>
  <si>
    <t>Free Cash Flow (CFO + Capex)</t>
  </si>
  <si>
    <t>CoreWeave, Inc. (CRWV) — Returns Analysis</t>
  </si>
  <si>
    <t>RETURN ON INVESTED CAPITAL (ROIC)</t>
  </si>
  <si>
    <t>EBIT</t>
  </si>
  <si>
    <t>Effective Tax Rate %</t>
  </si>
  <si>
    <t>NOPAT</t>
  </si>
  <si>
    <t>INVESTED CAPITAL</t>
  </si>
  <si>
    <t>Current Assets (excl Cash)</t>
  </si>
  <si>
    <t>Current Liabilities (excl ST Debt)</t>
  </si>
  <si>
    <t>Net Working Capital (NWC)</t>
  </si>
  <si>
    <t>Net LT Operating Assets</t>
  </si>
  <si>
    <t>Invested Capital (IC)</t>
  </si>
  <si>
    <t>Average IC</t>
  </si>
  <si>
    <t>RETURN ON EQUITY (ROE)</t>
  </si>
  <si>
    <t>NI Attr. to Common</t>
  </si>
  <si>
    <t>Avg Equity (excl NCI)</t>
  </si>
  <si>
    <t>RETURN ON ASSETS (ROA)</t>
  </si>
  <si>
    <t>Net Income</t>
  </si>
  <si>
    <t>Avg Total Assets</t>
  </si>
  <si>
    <t>DUPONT DECOMPOSITION</t>
  </si>
  <si>
    <t>Net Profit Margin (NI/Rev)</t>
  </si>
  <si>
    <t>Asset Turnover (Rev/Avg TA)</t>
  </si>
  <si>
    <t>Equity Multiplier (Avg TA/Avg Eq)</t>
  </si>
  <si>
    <t>DuPont ROE Check (NPM×AT×EM)</t>
  </si>
  <si>
    <t>DuPont vs ROE diff</t>
  </si>
  <si>
    <t>ADDITIONAL METRICS</t>
  </si>
  <si>
    <t>Net Debt (Total Debt - Cash)</t>
  </si>
  <si>
    <t>Interest Coverage (EBIT/Int Exp)</t>
  </si>
  <si>
    <t>FCF (from CF)</t>
  </si>
  <si>
    <t>CoreWeave, Inc. (CRWV) — Cross-Check &amp; Assumption Validation</t>
  </si>
  <si>
    <t>Model validated against: 10-K filings, research memo, yfinance, management guidance</t>
  </si>
  <si>
    <t>Validation date: 2026-04-18</t>
  </si>
  <si>
    <t>SECTION 1: HISTORICAL DATA VALIDATION (Model vs yfinance / 10-K)</t>
  </si>
  <si>
    <t>Period</t>
  </si>
  <si>
    <t>Model ($M)</t>
  </si>
  <si>
    <t>yfinance ($M)</t>
  </si>
  <si>
    <t>10-K ($M)</t>
  </si>
  <si>
    <t>Diff %</t>
  </si>
  <si>
    <t>Match?</t>
  </si>
  <si>
    <t>Revenue</t>
  </si>
  <si>
    <t>Y</t>
  </si>
  <si>
    <t>MATCH - all sources agree</t>
  </si>
  <si>
    <t>MATCH</t>
  </si>
  <si>
    <t>Total Assets</t>
  </si>
  <si>
    <t>Total Debt</t>
  </si>
  <si>
    <t>MATCH - ST+LT debt</t>
  </si>
  <si>
    <t>Stockholders' Equity</t>
  </si>
  <si>
    <t>SECTION 2: FORECAST ASSUMPTION CROSS-CHECK</t>
  </si>
  <si>
    <t>#</t>
  </si>
  <si>
    <t>Cat</t>
  </si>
  <si>
    <t>Driver</t>
  </si>
  <si>
    <t>Model Value</t>
  </si>
  <si>
    <t>External Ref</t>
  </si>
  <si>
    <t>Source &amp; Date</t>
  </si>
  <si>
    <t>Action</t>
  </si>
  <si>
    <t>A</t>
  </si>
  <si>
    <t>FY2026E Revenue</t>
  </si>
  <si>
    <t>$12.5B</t>
  </si>
  <si>
    <t>$12-13B guidance</t>
  </si>
  <si>
    <t>CRWV FY2025 10-K, Feb 2026</t>
  </si>
  <si>
    <t>Note</t>
  </si>
  <si>
    <t>FY2026E Capex</t>
  </si>
  <si>
    <t>$20B</t>
  </si>
  <si>
    <t>$23-25B cash capex guidance</t>
  </si>
  <si>
    <t>10-K/Earnings Call Q4'25</t>
  </si>
  <si>
    <t>N</t>
  </si>
  <si>
    <t>Monitor - model conservative on capex</t>
  </si>
  <si>
    <t>FY2026E Adj Op Income</t>
  </si>
  <si>
    <t>$2.75B</t>
  </si>
  <si>
    <t>$0.9-1.1B guidance</t>
  </si>
  <si>
    <t>10-K FY2025</t>
  </si>
  <si>
    <t>Model assumes higher margin; guidance includes ramp costs</t>
  </si>
  <si>
    <t>Active Power FY2026</t>
  </si>
  <si>
    <t>&gt;1.7GW</t>
  </si>
  <si>
    <t>&gt;1.7GW guidance</t>
  </si>
  <si>
    <t>B</t>
  </si>
  <si>
    <t>GPU Cloud Market Growth</t>
  </si>
  <si>
    <t>40% CAGR</t>
  </si>
  <si>
    <t>35-45% CAGR consensus</t>
  </si>
  <si>
    <t>IDC/Gartner 2025-2026</t>
  </si>
  <si>
    <t>Gross Margin FY2026E</t>
  </si>
  <si>
    <t>70%</t>
  </si>
  <si>
    <t>60-72% range (peers)</t>
  </si>
  <si>
    <t>NVDA/AMD/hyperscaler comps</t>
  </si>
  <si>
    <t>Monitor - top-end; GPU price declines may compress</t>
  </si>
  <si>
    <t>GM Decline to 66% by FY2030</t>
  </si>
  <si>
    <t>66%</t>
  </si>
  <si>
    <t>65-70% long-term range</t>
  </si>
  <si>
    <t>Industry consensus</t>
  </si>
  <si>
    <t>Monitor</t>
  </si>
  <si>
    <t>C</t>
  </si>
  <si>
    <t>Interest Expense FY2026E</t>
  </si>
  <si>
    <t>$2.5B</t>
  </si>
  <si>
    <t>$2.0-2.8B range</t>
  </si>
  <si>
    <t>Memo + validation doc</t>
  </si>
  <si>
    <t>Within validated range</t>
  </si>
  <si>
    <t>Net Debt/EBITDA FY2026E</t>
  </si>
  <si>
    <t>~2.5x</t>
  </si>
  <si>
    <t>2-4x neocloud peer range</t>
  </si>
  <si>
    <t>S-1, credit analyst reports</t>
  </si>
  <si>
    <t>Monitor deleverage path</t>
  </si>
  <si>
    <t>RPO (Remaining Perf Obligations)</t>
  </si>
  <si>
    <t>$60.7B</t>
  </si>
  <si>
    <t>$60.7B as of FY2025</t>
  </si>
  <si>
    <t>Note - provides revenue visibility</t>
  </si>
  <si>
    <t>Backlog</t>
  </si>
  <si>
    <t>$87.8B</t>
  </si>
  <si>
    <t>$87.8B as of FY2025</t>
  </si>
  <si>
    <t>Note - strong pipeline</t>
  </si>
  <si>
    <t>Revenue Deceleration FY27-30</t>
  </si>
  <si>
    <t>60%→10%→4%</t>
  </si>
  <si>
    <t>Typical hyperscaler maturation</t>
  </si>
  <si>
    <t>AMZN/MSFT/GOOG analogy</t>
  </si>
  <si>
    <t>Reasonable deceleration curve</t>
  </si>
  <si>
    <t>Total Debt Peak $35B</t>
  </si>
  <si>
    <t>$35B by FY27-28</t>
  </si>
  <si>
    <t>$30-35B validated range</t>
  </si>
  <si>
    <t>Validation doc</t>
  </si>
  <si>
    <t>D&amp;A % of Rev</t>
  </si>
  <si>
    <t>30-35%</t>
  </si>
  <si>
    <t>30-40% infrastructure peers</t>
  </si>
  <si>
    <t>EQIX/DLR/QTS comps</t>
  </si>
  <si>
    <t>SBC FY2026E</t>
  </si>
  <si>
    <t>$1.0B</t>
  </si>
  <si>
    <t>Pre-IPO/post-IPO ramp</t>
  </si>
  <si>
    <t>S-1 prospectus</t>
  </si>
  <si>
    <t>Post-IPO SBC typically elevated yr1-2</t>
  </si>
  <si>
    <t>SECTION 3: YFINANCE MAGNITUDE SANITY CHECK</t>
  </si>
  <si>
    <t>yfinance Rev FY2025 = $5,131M → Model = $5,131M → MATCH</t>
  </si>
  <si>
    <t>yfinance NI FY2025 = -$1,167M → Model = -$1,167M → MATCH</t>
  </si>
  <si>
    <t>yfinance EBITDA FY2025 = $2,468M → Model Adj EBITDA includes SBC add-back (higher) — acceptable diff</t>
  </si>
  <si>
    <t>yfinance TA FY2025 = $49,302M → Model = $49,302M → MATCH</t>
  </si>
  <si>
    <t>yfinance Total Debt FY2025 = $29,822M → Model (ST $8,175M + LT $21,647M = $29,822M) → MATCH</t>
  </si>
  <si>
    <t>yfinance Equity FY2025 = $3,335M → Model = $3,335M → MATCH</t>
  </si>
  <si>
    <t>Current Market Cap: ~$62.5B (share price ~$117, ~428M shares)</t>
  </si>
  <si>
    <t>Enterprise Value: ~$88.1B (EV = Market Cap + Net Debt)</t>
  </si>
  <si>
    <t>Implied EV/FY2025 Revenue: ~17.2x | EV/FY2026E Revenue (model $12.5B): ~7.0x</t>
  </si>
  <si>
    <t>SECTION 4: REVISION LOG</t>
  </si>
  <si>
    <t>Date</t>
  </si>
  <si>
    <t>Driver Changed</t>
  </si>
  <si>
    <t>Old Value</t>
  </si>
  <si>
    <t>New Value</t>
  </si>
  <si>
    <t>Reason</t>
  </si>
  <si>
    <t>Impact on NI</t>
  </si>
  <si>
    <t>2026-04-18</t>
  </si>
  <si>
    <t>Initial model build</t>
  </si>
  <si>
    <t>First build — all assumptions from research memo + 10-K</t>
  </si>
  <si>
    <t>CoreWeave, Inc. (CRWV) — Scenario Analysis &amp; Sensitivity</t>
  </si>
  <si>
    <t>Probability-weighted valuation framework | Units: $M except per-share ($) | FY2027E target year</t>
  </si>
  <si>
    <t>SCENARIO PARAMETERS</t>
  </si>
  <si>
    <t>Scenario</t>
  </si>
  <si>
    <t>Prob.</t>
  </si>
  <si>
    <t>FY27E Rev ($M)</t>
  </si>
  <si>
    <t>EBITDA Margin</t>
  </si>
  <si>
    <t>FY27E EBITDA ($M)</t>
  </si>
  <si>
    <t>EV/EBITDA</t>
  </si>
  <si>
    <t>Implied EV ($M)</t>
  </si>
  <si>
    <t>Mkt Cap ($M)</t>
  </si>
  <si>
    <t>Share Price ($)</t>
  </si>
  <si>
    <t>Bull</t>
  </si>
  <si>
    <t>Base</t>
  </si>
  <si>
    <t>Bear</t>
  </si>
  <si>
    <t>Distress</t>
  </si>
  <si>
    <t>PROBABILITY-WEIGHTED VALUATION</t>
  </si>
  <si>
    <t>Weighted ($)</t>
  </si>
  <si>
    <t>Model Uncertainty</t>
  </si>
  <si>
    <t>Probability-Weighted Target</t>
  </si>
  <si>
    <t>Current Share Price</t>
  </si>
  <si>
    <t>Implied Upside / (Downside)</t>
  </si>
  <si>
    <t>SENSITIVITY: IMPLIED SHARE PRICE ($)</t>
  </si>
  <si>
    <t>Net Debt = $35B fixed | Shares = 570M</t>
  </si>
  <si>
    <t>EBITDA ($M) ↓ \ Multiple →</t>
  </si>
  <si>
    <t>8x</t>
  </si>
  <si>
    <t>10x</t>
  </si>
  <si>
    <t>12x</t>
  </si>
  <si>
    <t>15x</t>
  </si>
  <si>
    <t>18x</t>
  </si>
  <si>
    <t>SENSITIVITY: NET DEBT IMPACT ON SHARE PRICE ($)</t>
  </si>
  <si>
    <t>EV/EBITDA = 12x fixed | Shares = 570M</t>
  </si>
  <si>
    <t>EBITDA ($M) ↓ \ Net Debt ($M) →</t>
  </si>
  <si>
    <t>$30B</t>
  </si>
  <si>
    <t>$33B</t>
  </si>
  <si>
    <t>$35B</t>
  </si>
  <si>
    <t>$38B</t>
  </si>
  <si>
    <t>$40B</t>
  </si>
  <si>
    <t>SCENARIO FRAMEWORK MATRIX</t>
  </si>
  <si>
    <t>GPU Price Holds Firm</t>
  </si>
  <si>
    <t>GPU Price Drops Sharply</t>
  </si>
  <si>
    <t>Customer</t>
  </si>
  <si>
    <t>Demand Strong</t>
  </si>
  <si>
    <t>Demand Slowing</t>
  </si>
  <si>
    <t>Demand Contracting</t>
  </si>
  <si>
    <t>Third dimension: Financing environment (loose/tight) → shifts scenarios down/up</t>
  </si>
  <si>
    <t>MODEL CROSS-REFERENCE (FY2027E)</t>
  </si>
  <si>
    <t>Model FY2027E Revenue ($M)</t>
  </si>
  <si>
    <t>Model FY2027E EBITDA ($M)</t>
  </si>
  <si>
    <t>Model FY2027E EBITDA Margin</t>
  </si>
  <si>
    <t>Model FY2027E Net Debt ($M)</t>
  </si>
  <si>
    <t>Current Share Price ($)</t>
  </si>
  <si>
    <t>Diluted Shares FY2027E (M)</t>
  </si>
  <si>
    <t>CoreWeave, Inc. (CRWV) — Raw Financial Data</t>
  </si>
  <si>
    <t>US GAAP | Units: $M | Data Confidence: HIGH | Sources: NLM (10-K) + Research Memo</t>
  </si>
  <si>
    <t>Line Item</t>
  </si>
  <si>
    <t>Notes / Source</t>
  </si>
  <si>
    <t>INCOME STATEMENT</t>
  </si>
  <si>
    <t>IS: Revenue (Total)</t>
  </si>
  <si>
    <t>[NLM 10-K ✅] Memo $5,130M match</t>
  </si>
  <si>
    <t>IS: Cost of Revenue</t>
  </si>
  <si>
    <t>[NLM 10-K ✅]</t>
  </si>
  <si>
    <t>IS: Gross Profit</t>
  </si>
  <si>
    <t>[NLM calc: Rev - COGS]</t>
  </si>
  <si>
    <t>IS: Technology &amp; Infrastructure</t>
  </si>
  <si>
    <t>[NLM 10-K] incl R&amp;D</t>
  </si>
  <si>
    <t>IS: Sales &amp; Marketing</t>
  </si>
  <si>
    <t>[NLM 10-K]</t>
  </si>
  <si>
    <t>IS: General &amp; Administrative</t>
  </si>
  <si>
    <t>IS: Total Operating Expenses</t>
  </si>
  <si>
    <t>[NLM 10-K] incl COGS</t>
  </si>
  <si>
    <t>IS: Operating Income (Loss)</t>
  </si>
  <si>
    <t>IS: Fair Value Adj Gain/(Loss)</t>
  </si>
  <si>
    <t>[NLM 10-K] warrant/derivative</t>
  </si>
  <si>
    <t>IS: Interest Expense, net</t>
  </si>
  <si>
    <t>[NLM 10-K ✅] Memo $1,229M match</t>
  </si>
  <si>
    <t>IS: Other Income, net</t>
  </si>
  <si>
    <t>IS: Loss Before Tax</t>
  </si>
  <si>
    <t>IS: Income Tax Provision/(Benefit)</t>
  </si>
  <si>
    <t>IS: Net Income (Loss)</t>
  </si>
  <si>
    <t>[NLM 10-K] Memo -$862M is FY2024</t>
  </si>
  <si>
    <t>IS: D&amp;A (from CF supplemental)</t>
  </si>
  <si>
    <t>IS: SBC (from CF supplemental)</t>
  </si>
  <si>
    <t>[NLM 10-K ✅] incl $177M IPO one-time</t>
  </si>
  <si>
    <t>IS: R&amp;D (embedded in Tech&amp;Infra)</t>
  </si>
  <si>
    <t>IS: Adj. EBITDA</t>
  </si>
  <si>
    <t>[Memo] 60.2% margin FY2025</t>
  </si>
  <si>
    <t>QUARTERLY REVENUE (FY2025)</t>
  </si>
  <si>
    <t>IS: Q1 2025 Revenue</t>
  </si>
  <si>
    <t>[Memo] $981.6M</t>
  </si>
  <si>
    <t>IS: Q2 2025 Revenue</t>
  </si>
  <si>
    <t>[Memo] +24% QoQ</t>
  </si>
  <si>
    <t>IS: Q3 2025 Revenue</t>
  </si>
  <si>
    <t>[Memo] +13% QoQ</t>
  </si>
  <si>
    <t>IS: Q4 2025 Revenue</t>
  </si>
  <si>
    <t>[Memo] +15% QoQ</t>
  </si>
  <si>
    <t>BALANCE SHEET</t>
  </si>
  <si>
    <t>BS: Cash &amp; Equivalents</t>
  </si>
  <si>
    <t>BS: Accounts Receivable, net</t>
  </si>
  <si>
    <t>BS: Prepaid &amp; Other Current</t>
  </si>
  <si>
    <t>BS: Total Current Assets</t>
  </si>
  <si>
    <t>BS: PP&amp;E, net</t>
  </si>
  <si>
    <t>BS: Intangible Assets, net</t>
  </si>
  <si>
    <t>BS: Goodwill</t>
  </si>
  <si>
    <t>[NLM 10-K] W&amp;B acquisition</t>
  </si>
  <si>
    <t>BS: ROU Assets (Operating Lease)</t>
  </si>
  <si>
    <t>BS: Other Non-Current Assets</t>
  </si>
  <si>
    <t>BS: Total Non-Current Assets</t>
  </si>
  <si>
    <t>BS: Total Assets</t>
  </si>
  <si>
    <t>BS: Accounts Payable</t>
  </si>
  <si>
    <t>BS: Accrued Liabilities</t>
  </si>
  <si>
    <t>BS: Debt, current</t>
  </si>
  <si>
    <t>BS: Deferred Revenue, current</t>
  </si>
  <si>
    <t>BS: Other Current Liabilities</t>
  </si>
  <si>
    <t>[NLM 10-K] incl current lease</t>
  </si>
  <si>
    <t>BS: Total Current Liabilities</t>
  </si>
  <si>
    <t>BS: Debt, non-current</t>
  </si>
  <si>
    <t>BS: Deferred Revenue, non-current</t>
  </si>
  <si>
    <t>BS: Lease Liabilities, non-current</t>
  </si>
  <si>
    <t>BS: Other Non-Current Liabilities</t>
  </si>
  <si>
    <t>BS: Total Non-Current Liabilities</t>
  </si>
  <si>
    <t>BS: Total Liabilities</t>
  </si>
  <si>
    <t>BS: Mezzanine Equity (Redeemable Pref)</t>
  </si>
  <si>
    <t>[NLM 10-K] converted at IPO</t>
  </si>
  <si>
    <t>BS: Treasury Stock</t>
  </si>
  <si>
    <t>BS: APIC</t>
  </si>
  <si>
    <t>BS: Accumulated Deficit</t>
  </si>
  <si>
    <t>BS: Total Stockholders' Equity</t>
  </si>
  <si>
    <t>BS: Total Liab + Mezzanine + Equity</t>
  </si>
  <si>
    <t>[NLM 10-K] = Total Assets ✅</t>
  </si>
  <si>
    <t>CASH FLOW STATEMENT</t>
  </si>
  <si>
    <t>CF: Net Income (Loss)</t>
  </si>
  <si>
    <t>CF: D&amp;A</t>
  </si>
  <si>
    <t>CF: SBC</t>
  </si>
  <si>
    <t>CF: Working Capital Changes</t>
  </si>
  <si>
    <t>CF: Other Non-Cash Items</t>
  </si>
  <si>
    <t>[NLM 10-K] FV adj + other</t>
  </si>
  <si>
    <t>CF: CFO Total</t>
  </si>
  <si>
    <t>[NLM 10-K ✅] Memo $3,060M match</t>
  </si>
  <si>
    <t>CF: Capex (PP&amp;E purchases)</t>
  </si>
  <si>
    <t>[NLM 10-K ✅] cash capex</t>
  </si>
  <si>
    <t>CF: Acquisitions</t>
  </si>
  <si>
    <t>[NLM 10-K] W&amp;B partial</t>
  </si>
  <si>
    <t>CF: Other Investing</t>
  </si>
  <si>
    <t>CF: CFI Total</t>
  </si>
  <si>
    <t>CF: Debt Proceeds</t>
  </si>
  <si>
    <t>CF: Debt Repayments</t>
  </si>
  <si>
    <t>CF: Equity Issuance</t>
  </si>
  <si>
    <t>[NLM 10-K] IPO + NVIDIA</t>
  </si>
  <si>
    <t>CF: Other Financing</t>
  </si>
  <si>
    <t>CF: CFF Total</t>
  </si>
  <si>
    <t>CF: Net Change in Cash</t>
  </si>
  <si>
    <t>CF: Beginning Cash</t>
  </si>
  <si>
    <t>CF: Ending Cash</t>
  </si>
  <si>
    <t>CAPEX — ACCRUAL BASIS</t>
  </si>
  <si>
    <t>CF: Total Capex (accrual)</t>
  </si>
  <si>
    <t>[Memo] vs cash $10,309M</t>
  </si>
  <si>
    <t>OPERATIONAL KPIs</t>
  </si>
  <si>
    <t>KPI: GPU Fleet (K)</t>
  </si>
  <si>
    <t>[NLM+Memo ✅] thousands</t>
  </si>
  <si>
    <t>KPI: Active Power (MW)</t>
  </si>
  <si>
    <t>[NLM+Memo ✅]</t>
  </si>
  <si>
    <t>KPI: Contracted Power (GW)</t>
  </si>
  <si>
    <t>KPI: Data Centers (#)</t>
  </si>
  <si>
    <t>KPI: RPO ($B)</t>
  </si>
  <si>
    <t>KPI: Revenue Backlog ($B)</t>
  </si>
  <si>
    <t>[NLM] FY2025 YE</t>
  </si>
  <si>
    <t>KPI: Revenue Backlog Apr 2026 ($B)</t>
  </si>
  <si>
    <t>[Memo] April 2026</t>
  </si>
  <si>
    <t>KPI: Microsoft Rev Share (%)</t>
  </si>
  <si>
    <t>[Memo] FY2025</t>
  </si>
  <si>
    <t>DEBT STRUCTURE</t>
  </si>
  <si>
    <t>DEBT: Total Debt</t>
  </si>
  <si>
    <t>[Memo] ~$21.6B incl 2026.04</t>
  </si>
  <si>
    <t>DEBT: 9.250% Senior Notes</t>
  </si>
  <si>
    <t>[Memo] due 2030, fixed</t>
  </si>
  <si>
    <t>DEBT: 9.000% Senior Notes</t>
  </si>
  <si>
    <t>[Memo] due 2031, fixed</t>
  </si>
  <si>
    <t>DEBT: 9.750% Senior Notes</t>
  </si>
  <si>
    <t>DEBT: 1.75% Convertible 2031</t>
  </si>
  <si>
    <t>[Memo] conv px $107.80</t>
  </si>
  <si>
    <t>DEBT: 1.75% Convertible 2032</t>
  </si>
  <si>
    <t>[Memo] conv px $119.60</t>
  </si>
  <si>
    <t>DEBT: DDTL 1-3</t>
  </si>
  <si>
    <t>[Memo] SOFR + 2.25-4.25%</t>
  </si>
  <si>
    <t>DEBT: DDTL 4.0 (A3)</t>
  </si>
  <si>
    <t>[Memo] ~4.5-5.5%, 2026 new</t>
  </si>
  <si>
    <t>DEBT: Revolving Facility</t>
  </si>
  <si>
    <t>[Memo] SOFR-based</t>
  </si>
  <si>
    <t>DEBT: Net Leverage</t>
  </si>
  <si>
    <t>[Memo] covenant 6.0x</t>
  </si>
  <si>
    <t>DEBT: CDS Spread (bps)</t>
  </si>
  <si>
    <t>[Memo] 42% 5yr implied default</t>
  </si>
  <si>
    <t>DEBT: Weighted Avg Rate (%)</t>
  </si>
  <si>
    <t>EQUITY &amp; VALUATION</t>
  </si>
  <si>
    <t>EQ: Share Price</t>
  </si>
  <si>
    <t>[Memo] 2026.04.17</t>
  </si>
  <si>
    <t>EQ: Shares Outstanding (M)</t>
  </si>
  <si>
    <t>[Memo]</t>
  </si>
  <si>
    <t>EQ: Market Cap ($B)</t>
  </si>
  <si>
    <t>EQ: Enterprise Value ($B)</t>
  </si>
  <si>
    <t>EQ: IPO Price</t>
  </si>
  <si>
    <t>[Memo] 2025.03</t>
  </si>
  <si>
    <t>EQ: 52W High / Low</t>
  </si>
  <si>
    <t>[Memo] $187 / $33.52</t>
  </si>
  <si>
    <t>EQ: Short Interest (%)</t>
  </si>
  <si>
    <t>[Memo] outstanding basis</t>
  </si>
  <si>
    <t>EQ: SBC FY2025</t>
  </si>
  <si>
    <t>[NLM 10-K] incl $177M IPO</t>
  </si>
  <si>
    <t>EQ: Class B Shares (M)</t>
  </si>
  <si>
    <t>[Memo] 10x voting</t>
  </si>
  <si>
    <t>MANAGEMENT GUIDANCE — FY2026</t>
  </si>
  <si>
    <t>GUIDE: Q1 2026 Revenue</t>
  </si>
  <si>
    <t>[Memo] $1.9-2.0B</t>
  </si>
  <si>
    <t>GUIDE: FY2026 Revenue</t>
  </si>
  <si>
    <t>[Memo+NLM ✅] $12-13B (~140% YoY mid)</t>
  </si>
  <si>
    <t>GUIDE: FY2026 Adj. Op Income</t>
  </si>
  <si>
    <t>[NLM] $0.9-1.1B</t>
  </si>
  <si>
    <t>GUIDE: FY2026 Capex</t>
  </si>
  <si>
    <t>[NLM] $30-35B total; [Memo] $23-25B cash</t>
  </si>
  <si>
    <t>GUIDE: Active Power YE2026</t>
  </si>
  <si>
    <t>[Memo+NLM ✅] &gt;1.7 GW</t>
  </si>
  <si>
    <t>GUIDE: Exit Rate 2026 (ann.)</t>
  </si>
  <si>
    <t>[Memo] $17-19B</t>
  </si>
  <si>
    <t>GUIDE: Exit Rate 2027 (ann.)</t>
  </si>
  <si>
    <t>[Memo] $30B+</t>
  </si>
  <si>
    <t>GUIDE: LT Adj. Op Margin</t>
  </si>
  <si>
    <t>[NLM] 25-30%</t>
  </si>
  <si>
    <t>CUSTOMER CONTRACTS</t>
  </si>
  <si>
    <t>CUST: Meta Total Contract ($B)</t>
  </si>
  <si>
    <t>[Memo] to 2032.12</t>
  </si>
  <si>
    <t>CUST: OpenAI Total Contract ($B)</t>
  </si>
  <si>
    <t>[Memo] to ~2031</t>
  </si>
  <si>
    <t>CUST: Microsoft (~est) ($B)</t>
  </si>
  <si>
    <t>[Memo] $10-20B est, MSA no fixed expiry</t>
  </si>
  <si>
    <t>CUST: Jane Street Cloud ($B)</t>
  </si>
  <si>
    <t>[Memo] + $1B equity</t>
  </si>
  <si>
    <t>CUST: Level42 (Sovereign) ($B)</t>
  </si>
  <si>
    <t>[Memo] Saudi</t>
  </si>
  <si>
    <t>SCENARIO VALUATION PARAMETERS</t>
  </si>
  <si>
    <t>SCEN: Bull FY27E Rev</t>
  </si>
  <si>
    <t>[Memo M8] $25B</t>
  </si>
  <si>
    <t>SCEN: Bull FY27E EBITDA</t>
  </si>
  <si>
    <t>[Memo M8] 60% margin</t>
  </si>
  <si>
    <t>SCEN: Bull EV/EBITDA</t>
  </si>
  <si>
    <t>[Memo M8]</t>
  </si>
  <si>
    <t>SCEN: Base FY27E Rev</t>
  </si>
  <si>
    <t>[Memo M8] $20B</t>
  </si>
  <si>
    <t>SCEN: Base FY27E EBITDA</t>
  </si>
  <si>
    <t>[Memo M8] 55% margin</t>
  </si>
  <si>
    <t>SCEN: Base EV/EBITDA</t>
  </si>
  <si>
    <t>SCEN: Bear FY27E Rev</t>
  </si>
  <si>
    <t>[Memo M8] $15B</t>
  </si>
  <si>
    <t>SCEN: Bear FY27E EBITDA</t>
  </si>
  <si>
    <t>[Memo M8] 50% margin</t>
  </si>
  <si>
    <t>SCEN: Bear EV/EBITDA</t>
  </si>
  <si>
    <t>SCEN: Prob Bull</t>
  </si>
  <si>
    <t>SCEN: Prob Base</t>
  </si>
  <si>
    <t>SCEN: Prob Bear</t>
  </si>
  <si>
    <t>SCEN: Prob Distress</t>
  </si>
  <si>
    <t>RPO CONVERSION SCHEDULE (based on $60.7B FY2025 YE)</t>
  </si>
  <si>
    <t>RPO: 0-24 month (2026-2027)</t>
  </si>
  <si>
    <t>[Memo] 43% of $60.7B, ~$13B/yr</t>
  </si>
  <si>
    <t>RPO: 25-48 month (2028-2029)</t>
  </si>
  <si>
    <t>[Memo] 38% of $60.7B, ~$11.5B/yr</t>
  </si>
  <si>
    <t>RPO: 49-84 month (2030-2032)</t>
  </si>
  <si>
    <t>[Memo] 19% of $60.7B, ~$3.3B/yr</t>
  </si>
  <si>
    <t>SKILL_VERSION: 4.8</t>
  </si>
  <si>
    <t>DATA_SOURCES: [MEMO, NLM]</t>
  </si>
  <si>
    <t>DATA_CONFIDENCE: HIGH</t>
  </si>
  <si>
    <t>IS_GRANULARITY: Annual</t>
  </si>
  <si>
    <t>CF_GRANULARITY: Annual</t>
  </si>
  <si>
    <t>BS_GRANULARITY: Annual</t>
  </si>
  <si>
    <t>HIST_YEARS: ["FY2023", "FY2024", "FY2025"]</t>
  </si>
  <si>
    <t>FCST_YEARS: ["FY2026E", "FY2027E", "FY2028E", "FY2029E", "FY2030E"]</t>
  </si>
  <si>
    <t>UNIT: $M</t>
  </si>
  <si>
    <t>GAAP: US GAAP</t>
  </si>
  <si>
    <t>COMPANY: CoreWeave, Inc.</t>
  </si>
  <si>
    <t>TICKER: CRWV</t>
  </si>
  <si>
    <t>NLM_AVAILABLE: true</t>
  </si>
  <si>
    <t>NLM_NOTEBOOK_ID: 3243d4cc-6a4e-40bf-a262-4888bff3e000</t>
  </si>
  <si>
    <t>BS_CASH_STATUS: BACKFILL_COMPLETE</t>
  </si>
  <si>
    <t>CONFLICT_COUNT: 0</t>
  </si>
  <si>
    <t>SESSION_DATE: 2026-04-18</t>
  </si>
  <si>
    <t>RAW_MAP: {"IS: Revenue (Total)": 5, "IS: Cost of Revenue": 6, "IS: Gross Profit": 7, "IS: Technology &amp; Infrastructure": 8, "IS: Sales &amp; Marketing": 9, "IS: General &amp; Administrative": 10, "IS: Total Operating Expenses": 11, "IS: Operating Income (Loss)": 12, "IS: Fair Value Adj Gain/(Loss)": 13, "IS: Interest Expense, net": 14, "IS: Other Income, net": 15, "IS: Loss Before Tax": 16, "IS: Income Tax Provision/(Benefit)": 17, "IS: Net Income (Loss)": 18, "IS: D&amp;A (from CF supplemental)": 19, "IS: SBC (from CF supplemental)": 20, "IS: R&amp;D (embedded in Tech&amp;Infra)": 21, "IS: Adj. EBITDA": 22, "IS: Q1 2025 Revenue": 25, "IS: Q2 2025 Revenue": 26, "IS: Q3 2025 Revenue": 27, "IS: Q4 2025 Revenue": 28, "BS: Cash &amp; Equivalents (incl restricted)": 31, "BS: Accounts Receivable, net": 32, "BS: Prepaid &amp; Other Current": 33, "BS: Total Current Assets": 34, "BS: PP&amp;E, net": 35, "BS: Intangible Assets, net": 36, "BS: Goodwill": 37, "BS: ROU Assets (Operating Lease)": 38, "BS: Other Non-Current Assets": 39, "BS: Total Non-Current Assets": 40, "BS: Total Assets": 41, "BS: Accounts Payable": 42, "BS: Accrued Liabilities": 43, "BS: Debt, current": 44, "BS: Deferred Revenue, current": 45, "BS: Other Current Liabilities": 46, "BS: Total Current Liabilities": 47, "BS: Debt, non-current": 48, "BS: Deferred Revenue, non-current": 49, "BS: Lease Liabilities, non-current": 50, "BS: Other Non-Current Liabilities": 51, "BS: Total Non-Current Liabilities": 52, "BS: Total Liabilities": 53, "BS: Mezzanine Equity (Redeemable Pref)": 54, "BS: Treasury Stock": 55, "BS: APIC": 56, "BS: Accumulated Deficit": 57, "BS: Total Stockholders' Equity": 58, "BS: Total Liab + Mezzanine + Equity": 59, "CF: Net Income (Loss)": 62, "CF: D&amp;A": 63, "CF: SBC": 64, "CF: Working Capital Changes": 65, "CF: Other Non-Cash Items": 66, "CF: CFO Total": 67, "CF: Capex (PP&amp;E purchases)": 68, "CF: Acquisitions": 69, "CF: Other Investing": 70, "CF: CFI Total": 71, "CF: Debt Proceeds": 72, "CF: Debt Repayments": 73, "CF: Equity Issuance": 74, "CF: Other Financing": 75, "CF: CFF Total": 76, "CF: Net Change in Cash": 77, "CF: Beginning Cash": 78, "CF: Ending Cash": 79, "CF: Total Capex (accrual)": 82, "KPI: GPU Fleet (K)": 85, "KPI: Active Power (MW)": 86, "KPI: Contracted Power (GW)": 87, "KPI: Data Centers (#)": 88, "KPI: RPO ($B)": 89, "KPI: Revenue Backlog ($B)": 90, "KPI: Revenue Backlog Apr 2026 ($B)": 91, "KPI: Microsoft Rev Share (%)": 92, "DEBT: Total Debt": 95, "DEBT: 9.250% Senior Notes": 96, "DEBT: 9.000% Senior Notes": 97, "DEBT: 9.750% Senior Notes": 98, "DEBT: 1.75% Convertible 2031": 99, "DEBT: 1.75% Convertible 2032": 100, "DEBT: DDTL 1-3": 101, "DEBT: DDTL 4.0 (A3)": 102, "DEBT: Revolving Facility": 103, "DEBT: Net Leverage": 104, "DEBT: CDS Spread (bps)": 105, "DEBT: Weighted Avg Rate (%)": 106, "EQ: Share Price": 109, "EQ: Shares Outstanding (M)": 110, "EQ: Market Cap ($B)": 111, "EQ: Enterprise Value ($B)": 112, "EQ: IPO Price": 113, "EQ: 52W High / Low": 114, "EQ: Short Interest (%)": 115, "EQ: SBC FY2025": 116, "EQ: Class B Shares (M)": 117, "GUIDE: Q1 2026 Revenue": 120, "GUIDE: FY2026 Revenue": 121, "GUIDE: FY2026 Adj. Op Income": 122, "GUIDE: FY2026 Capex": 123, "GUIDE: Active Power YE2026": 124, "GUIDE: Exit Rate 2026 (ann.)": 125, "GUIDE: Exit Rate 2027 (ann.)": 126, "GUIDE: LT Adj. Op Margin": 127, "CUST: Meta Total Contract ($B)": 130, "CUST: OpenAI Total Contract ($B)": 131, "CUST: Microsoft (~est) ($B)": 132, "CUST: Jane Street Cloud ($B)": 133, "CUST: Level42 (Sovereign) ($B)": 134, "SCEN: Bull FY27E Rev": 137, "SCEN: Bull FY27E EBITDA": 138, "SCEN: Bull EV/EBITDA": 139, "SCEN: Base FY27E Rev": 140, "SCEN: Base FY27E EBITDA": 141, "SCEN: Base EV/EBITDA": 142, "SCEN: Bear FY27E Rev": 143, "SCEN: Bear FY27E EBITDA": 144, "SCEN: Bear EV/EBITDA": 145, "SCEN: Prob Bull": 146, "SCEN: Prob Base": 147, "SCEN: Prob Bear": 148, "SCEN: Prob Distress": 149, "RPO: 0-24 month (2026-2027)": 152, "RPO: 25-48 month (2028-2029)": 153, "RPO: 49-84 month (2030-2032)": 154}</t>
  </si>
  <si>
    <t>ASM_MAP: {"Revenue ($M)": 5, "Revenue YoY %": 6, "Gross Margin %": 9, "COGS ($M)": 10, "Tech &amp; Infra % of Rev": 13, "Sales &amp; Marketing % of Rev": 14, "G&amp;A % of Rev": 15, "D&amp;A ($M)": 18, "SBC ($M)": 19, "Interest Expense ($M)": 20, "Fair Value Adj ($M)": 21, "Other Income ($M)": 22, "Tax Rate %": 23, "AR Days": 26, "Prepaid &amp; Other CA ($M)": 27, "AP Days (of COGS)": 28, "Accrued Liabilities ($M)": 29, "Deferred Revenue Current ($M)": 30, "Other Current Liab ($M)": 31, "Deferred Revenue NC ($M)": 32, "Capex Cash ($M)": 35, "PP&amp;E Depreciation Rate %": 36, "Intangibles Net ($M)": 37, "Goodwill ($M)": 38, "ROU Assets ($M)": 39, "Other Non-Current Assets ($M)": 40, "Debt Current ($M)": 43, "Debt Non-Current ($M)": 44, "Lease Liab NC ($M)": 45, "Other NCL ($M)": 46, "Equity Issuance ($M)": 49, "Shares Outstanding (M)": 50, "Dividends ($M)": 51, "Net Debt Proceeds ($M)": 54, "Other Financing ($M)": 55, "Acquisitions ($M)": 56, "Other Investing ($M)": 57, "WC Other Non-Cash ($M)": 58}</t>
  </si>
  <si>
    <t>BS_COL_MAP: {"FY2024": "B", "FY2025": "C", "FY2026E": "D", "FY2027E": "E", "FY2028E": "F", "FY2029E": "G", "FY2030E": "H"}</t>
  </si>
  <si>
    <t>IS_COL_MAP: {"FY2023": "B", "FY2024": "C", "FY2025": "D", "FY2026E": "E", "FY2027E": "F", "FY2028E": "G", "FY2029E": "H", "FY2030E": "I"}</t>
  </si>
  <si>
    <t>CF_COL_MAP: {"FY2023": "B", "FY2024": "C", "FY2025": "D", "FY2026E": "E", "FY2027E": "F", "FY2028E": "G", "FY2029E": "H", "FY2030E": "I"}</t>
  </si>
  <si>
    <t>FILE_HASH: 1776523235.5353043</t>
  </si>
  <si>
    <t>PHASE_DONE: SESSION_E</t>
  </si>
  <si>
    <t>KEY_CELLS_IS: {"Revenue_row": 5, "COGS_row": 10, "GP_row": 11, "EBIT_row": 22, "NI_row": 34, "AttrOwners_row": 37, "AttrNCI_row": 38, "DA_row": 41, "SBC_row": 42, "EBITDA_row": 43, "EPS_row": 45, "first_hist_col": 2, "first_fcst_col": 5}</t>
  </si>
  <si>
    <t>IS_PROGRESS: Revenue,GP,EBIT,NI,NCI</t>
  </si>
  <si>
    <t>KEY_CELLS_BS: {"Cash_row": 5, "AR_row": 6, "CA_tot_row": 8, "CA_excl_start_row": 6, "CA_excl_end_row": 7, "PPE_row": 11, "NCA_tot_row": 16, "TA_row": 18, "AP_row": 21, "OtherCL_row": 25, "CL_tot_row": 26, "NCL_tot_row": 33, "TotalLiab_row": 35, "TotalEquity_row": 42, "NCI_row": 43, "TLE_row": 45, "BS_CHECK_row": 47, "first_hist_col": 2, "first_fcst_col": 4}</t>
  </si>
  <si>
    <t>BS_PROGRESS: CA,NCA,TA,CL,NCL,EQ,CHECK</t>
  </si>
  <si>
    <t>PENDING_LINKS: 0</t>
  </si>
  <si>
    <t>KEY_CELLS_CF: {"Others_row": 15, "CFO_row": 16, "Capex_row": 19, "CFI_row": 22, "CFF_row": 28, "EndCash_row": 33, "CF_CHECK_row": 35, "FCF_row": 38, "wc_start_row": 8, "wc_end_row": 12}</t>
  </si>
  <si>
    <t>CF_PROGRESS: ALL_YEARS</t>
  </si>
  <si>
    <t>KEY_CELLS_RET: {"ROIC_row": 16, "ROE_row": 21, "ROA_row": 26, "DuPont_check_row": 32, "NOPAT_row": 7, "IC_row": 14, "NetDebt_row": 36, "first_data_col": 2, "ret_col_map": {"FY2025": "B", "FY2026E": "C", "FY2027E": "D", "FY2028E": "E", "FY2029E": "F", "FY2030E": "G"}}</t>
  </si>
  <si>
    <t>RET_COL_MAP: {"FY2025": "B", "FY2026E": "C", "FY2027E": "D", "FY2028E": "E", "FY2029E": "F", "FY2030E": "G"}</t>
  </si>
  <si>
    <t>MODEL_COMPLETE: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</si>
</sst>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%"/>
    <numFmt numFmtId="177" formatCode="0.0000%"/>
    <numFmt numFmtId="178" formatCode="0.0\x"/>
    <numFmt numFmtId="179" formatCode="#,##0.0"/>
    <numFmt numFmtId="180" formatCode="0\x"/>
    <numFmt numFmtId="181" formatCode="\$#,##0"/>
    <numFmt numFmtId="182" formatCode="\+0.0%;\-0.0%"/>
  </numFmts>
  <fonts count="26">
    <font>
      <sz val="11"/>
      <color theme="1"/>
      <name val="宋体"/>
      <family val="2"/>
      <scheme val="minor"/>
    </font>
    <font>
      <i/>
      <sz val="9"/>
      <color rgb="FF808080"/>
      <name val="Calibri"/>
      <family val="2"/>
    </font>
    <font>
      <b/>
      <sz val="11"/>
      <color rgb="FF2F5496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name val="Book Antiqua"/>
      <family val="1"/>
    </font>
    <font>
      <i/>
      <sz val="9"/>
      <color rgb="FF666666"/>
      <name val="Book Antiqua"/>
      <family val="1"/>
    </font>
    <font>
      <sz val="10"/>
      <color rgb="FF000000"/>
      <name val="Book Antiqua"/>
      <family val="1"/>
    </font>
    <font>
      <b/>
      <sz val="11"/>
      <color rgb="FFFFFFFF"/>
      <name val="Book Antiqua"/>
      <family val="1"/>
    </font>
    <font>
      <b/>
      <sz val="10"/>
      <name val="Book Antiqua"/>
      <family val="1"/>
    </font>
    <font>
      <sz val="10"/>
      <color rgb="FF1F3864"/>
      <name val="Book Antiqua"/>
      <family val="1"/>
    </font>
    <font>
      <b/>
      <sz val="10"/>
      <color rgb="FF2F5496"/>
      <name val="Book Antiqua"/>
      <family val="1"/>
    </font>
    <font>
      <b/>
      <sz val="14"/>
      <color rgb="FF2F5496"/>
      <name val="Book Antiqua"/>
      <family val="1"/>
    </font>
    <font>
      <sz val="10"/>
      <color rgb="FF333333"/>
      <name val="Book Antiqua"/>
      <family val="1"/>
    </font>
    <font>
      <b/>
      <sz val="10"/>
      <color rgb="FFFFFFFF"/>
      <name val="Book Antiqua"/>
      <family val="1"/>
    </font>
    <font>
      <b/>
      <sz val="11"/>
      <color rgb="FF2F5496"/>
      <name val="Book Antiqua"/>
      <family val="1"/>
    </font>
    <font>
      <i/>
      <sz val="9"/>
      <color rgb="FF808080"/>
      <name val="Book Antiqua"/>
      <family val="1"/>
    </font>
    <font>
      <b/>
      <sz val="10"/>
      <color rgb="FF006100"/>
      <name val="Book Antiqua"/>
      <family val="1"/>
    </font>
    <font>
      <b/>
      <sz val="10"/>
      <color rgb="FF000000"/>
      <name val="Book Antiqua"/>
      <family val="1"/>
    </font>
    <font>
      <b/>
      <sz val="14"/>
      <color rgb="FFFFFFFF"/>
      <name val="Book Antiqua"/>
      <family val="1"/>
    </font>
    <font>
      <b/>
      <sz val="10"/>
      <color rgb="FF1F3864"/>
      <name val="Book Antiqua"/>
      <family val="1"/>
    </font>
    <font>
      <i/>
      <sz val="9"/>
      <color rgb="FF1F3864"/>
      <name val="Book Antiqua"/>
      <family val="1"/>
    </font>
    <font>
      <i/>
      <sz val="9"/>
      <color rgb="FF000000"/>
      <name val="Book Antiqua"/>
      <family val="1"/>
    </font>
    <font>
      <sz val="10"/>
      <color rgb="FF000080"/>
      <name val="Book Antiqua"/>
      <family val="1"/>
    </font>
    <font>
      <sz val="10"/>
      <name val="Book Antiqua"/>
      <family val="1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2" fillId="3" borderId="0" xfId="0" applyFont="1" applyFill="1"/>
    <xf numFmtId="3" fontId="3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9" fillId="5" borderId="0" xfId="0" applyFont="1" applyFill="1"/>
    <xf numFmtId="0" fontId="0" fillId="5" borderId="0" xfId="0" applyFill="1"/>
    <xf numFmtId="3" fontId="10" fillId="0" borderId="0" xfId="0" applyNumberFormat="1" applyFont="1"/>
    <xf numFmtId="3" fontId="7" fillId="0" borderId="0" xfId="0" applyNumberFormat="1" applyFont="1"/>
    <xf numFmtId="176" fontId="10" fillId="0" borderId="0" xfId="0" applyNumberFormat="1" applyFont="1"/>
    <xf numFmtId="176" fontId="7" fillId="0" borderId="0" xfId="0" applyNumberFormat="1" applyFont="1"/>
    <xf numFmtId="3" fontId="10" fillId="5" borderId="0" xfId="0" applyNumberFormat="1" applyFont="1" applyFill="1"/>
    <xf numFmtId="3" fontId="7" fillId="5" borderId="0" xfId="0" applyNumberFormat="1" applyFont="1" applyFill="1"/>
    <xf numFmtId="0" fontId="11" fillId="0" borderId="0" xfId="0" applyFont="1"/>
    <xf numFmtId="176" fontId="11" fillId="0" borderId="0" xfId="0" applyNumberFormat="1" applyFont="1"/>
    <xf numFmtId="4" fontId="10" fillId="0" borderId="0" xfId="0" applyNumberFormat="1" applyFont="1"/>
    <xf numFmtId="4" fontId="7" fillId="0" borderId="0" xfId="0" applyNumberFormat="1" applyFont="1"/>
    <xf numFmtId="176" fontId="10" fillId="5" borderId="0" xfId="0" applyNumberFormat="1" applyFont="1" applyFill="1"/>
    <xf numFmtId="176" fontId="7" fillId="5" borderId="0" xfId="0" applyNumberFormat="1" applyFont="1" applyFill="1"/>
    <xf numFmtId="177" fontId="7" fillId="0" borderId="0" xfId="0" applyNumberFormat="1" applyFont="1"/>
    <xf numFmtId="0" fontId="10" fillId="0" borderId="0" xfId="0" applyFont="1"/>
    <xf numFmtId="0" fontId="10" fillId="6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7" borderId="0" xfId="0" applyFont="1" applyFill="1" applyAlignment="1">
      <alignment horizontal="center"/>
    </xf>
    <xf numFmtId="0" fontId="8" fillId="2" borderId="0" xfId="0" applyFont="1" applyFill="1"/>
    <xf numFmtId="0" fontId="12" fillId="0" borderId="0" xfId="0" applyFont="1"/>
    <xf numFmtId="0" fontId="0" fillId="2" borderId="0" xfId="0" applyFill="1"/>
    <xf numFmtId="0" fontId="13" fillId="0" borderId="0" xfId="0" applyFont="1"/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3" fontId="10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176" fontId="10" fillId="0" borderId="0" xfId="0" applyNumberFormat="1" applyFont="1" applyAlignment="1">
      <alignment horizontal="right"/>
    </xf>
    <xf numFmtId="176" fontId="7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7" fillId="0" borderId="0" xfId="0" applyNumberFormat="1" applyFont="1" applyAlignment="1">
      <alignment horizontal="right"/>
    </xf>
    <xf numFmtId="176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178" fontId="10" fillId="0" borderId="0" xfId="0" applyNumberFormat="1" applyFont="1" applyAlignment="1">
      <alignment horizontal="right"/>
    </xf>
    <xf numFmtId="178" fontId="7" fillId="0" borderId="0" xfId="0" applyNumberFormat="1" applyFont="1" applyAlignment="1">
      <alignment horizontal="right"/>
    </xf>
    <xf numFmtId="0" fontId="15" fillId="3" borderId="0" xfId="0" applyFont="1" applyFill="1"/>
    <xf numFmtId="0" fontId="0" fillId="3" borderId="0" xfId="0" applyFill="1"/>
    <xf numFmtId="3" fontId="10" fillId="3" borderId="0" xfId="0" applyNumberFormat="1" applyFont="1" applyFill="1" applyAlignment="1">
      <alignment horizontal="right"/>
    </xf>
    <xf numFmtId="0" fontId="16" fillId="0" borderId="0" xfId="0" applyFont="1"/>
    <xf numFmtId="179" fontId="10" fillId="3" borderId="0" xfId="0" applyNumberFormat="1" applyFont="1" applyFill="1" applyAlignment="1">
      <alignment horizontal="right"/>
    </xf>
    <xf numFmtId="176" fontId="10" fillId="3" borderId="0" xfId="0" applyNumberFormat="1" applyFont="1" applyFill="1" applyAlignment="1">
      <alignment horizontal="right"/>
    </xf>
    <xf numFmtId="3" fontId="17" fillId="6" borderId="1" xfId="0" applyNumberFormat="1" applyFont="1" applyFill="1" applyBorder="1" applyAlignment="1">
      <alignment horizontal="right"/>
    </xf>
    <xf numFmtId="3" fontId="17" fillId="6" borderId="0" xfId="0" applyNumberFormat="1" applyFont="1" applyFill="1"/>
    <xf numFmtId="0" fontId="14" fillId="2" borderId="0" xfId="0" applyFont="1" applyFill="1" applyAlignment="1">
      <alignment horizontal="center" wrapText="1"/>
    </xf>
    <xf numFmtId="0" fontId="7" fillId="0" borderId="0" xfId="0" applyFont="1" applyAlignment="1">
      <alignment horizontal="center"/>
    </xf>
    <xf numFmtId="9" fontId="10" fillId="3" borderId="0" xfId="0" applyNumberFormat="1" applyFont="1" applyFill="1" applyAlignment="1">
      <alignment horizontal="center"/>
    </xf>
    <xf numFmtId="3" fontId="10" fillId="3" borderId="0" xfId="0" applyNumberFormat="1" applyFont="1" applyFill="1" applyAlignment="1">
      <alignment horizontal="center"/>
    </xf>
    <xf numFmtId="176" fontId="10" fillId="3" borderId="0" xfId="0" applyNumberFormat="1" applyFont="1" applyFill="1" applyAlignment="1">
      <alignment horizontal="center"/>
    </xf>
    <xf numFmtId="3" fontId="7" fillId="0" borderId="0" xfId="0" applyNumberFormat="1" applyFont="1" applyAlignment="1">
      <alignment horizontal="center"/>
    </xf>
    <xf numFmtId="180" fontId="10" fillId="3" borderId="0" xfId="0" applyNumberFormat="1" applyFont="1" applyFill="1" applyAlignment="1">
      <alignment horizontal="center"/>
    </xf>
    <xf numFmtId="181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5" fillId="6" borderId="0" xfId="0" applyFont="1" applyFill="1" applyAlignment="1">
      <alignment horizontal="center"/>
    </xf>
    <xf numFmtId="9" fontId="15" fillId="6" borderId="0" xfId="0" applyNumberFormat="1" applyFont="1" applyFill="1" applyAlignment="1">
      <alignment horizontal="center"/>
    </xf>
    <xf numFmtId="181" fontId="15" fillId="6" borderId="0" xfId="0" applyNumberFormat="1" applyFont="1" applyFill="1" applyAlignment="1">
      <alignment horizontal="center"/>
    </xf>
    <xf numFmtId="0" fontId="0" fillId="6" borderId="0" xfId="0" applyFill="1"/>
    <xf numFmtId="0" fontId="18" fillId="5" borderId="0" xfId="0" applyFont="1" applyFill="1"/>
    <xf numFmtId="182" fontId="15" fillId="5" borderId="0" xfId="0" applyNumberFormat="1" applyFont="1" applyFill="1" applyAlignment="1">
      <alignment horizontal="center"/>
    </xf>
    <xf numFmtId="3" fontId="10" fillId="3" borderId="0" xfId="0" applyNumberFormat="1" applyFont="1" applyFill="1"/>
    <xf numFmtId="181" fontId="7" fillId="7" borderId="0" xfId="0" applyNumberFormat="1" applyFont="1" applyFill="1" applyAlignment="1">
      <alignment horizontal="center"/>
    </xf>
    <xf numFmtId="181" fontId="7" fillId="8" borderId="0" xfId="0" applyNumberFormat="1" applyFont="1" applyFill="1" applyAlignment="1">
      <alignment horizontal="center"/>
    </xf>
    <xf numFmtId="181" fontId="7" fillId="6" borderId="0" xfId="0" applyNumberFormat="1" applyFont="1" applyFill="1" applyAlignment="1">
      <alignment horizontal="center"/>
    </xf>
    <xf numFmtId="0" fontId="10" fillId="3" borderId="0" xfId="0" applyFont="1" applyFill="1"/>
    <xf numFmtId="0" fontId="18" fillId="6" borderId="0" xfId="0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0" fontId="18" fillId="8" borderId="0" xfId="0" applyFont="1" applyFill="1" applyAlignment="1">
      <alignment horizontal="center"/>
    </xf>
    <xf numFmtId="0" fontId="18" fillId="7" borderId="0" xfId="0" applyFont="1" applyFill="1" applyAlignment="1">
      <alignment horizontal="center"/>
    </xf>
    <xf numFmtId="181" fontId="7" fillId="0" borderId="0" xfId="0" applyNumberFormat="1" applyFont="1" applyAlignment="1">
      <alignment horizontal="right"/>
    </xf>
    <xf numFmtId="0" fontId="7" fillId="0" borderId="1" xfId="0" applyFont="1" applyBorder="1"/>
    <xf numFmtId="3" fontId="10" fillId="3" borderId="1" xfId="0" applyNumberFormat="1" applyFont="1" applyFill="1" applyBorder="1" applyAlignment="1">
      <alignment horizontal="right"/>
    </xf>
    <xf numFmtId="0" fontId="16" fillId="0" borderId="1" xfId="0" applyFont="1" applyBorder="1"/>
    <xf numFmtId="176" fontId="10" fillId="3" borderId="1" xfId="0" applyNumberFormat="1" applyFont="1" applyFill="1" applyBorder="1" applyAlignment="1">
      <alignment horizontal="right"/>
    </xf>
    <xf numFmtId="0" fontId="15" fillId="3" borderId="1" xfId="0" applyFont="1" applyFill="1" applyBorder="1"/>
    <xf numFmtId="0" fontId="16" fillId="3" borderId="0" xfId="0" applyFont="1" applyFill="1"/>
    <xf numFmtId="3" fontId="20" fillId="5" borderId="1" xfId="0" applyNumberFormat="1" applyFont="1" applyFill="1" applyBorder="1" applyAlignment="1">
      <alignment horizontal="right"/>
    </xf>
    <xf numFmtId="3" fontId="18" fillId="5" borderId="1" xfId="0" applyNumberFormat="1" applyFont="1" applyFill="1" applyBorder="1" applyAlignment="1">
      <alignment horizontal="right"/>
    </xf>
    <xf numFmtId="0" fontId="16" fillId="5" borderId="0" xfId="0" applyFont="1" applyFill="1"/>
    <xf numFmtId="0" fontId="21" fillId="3" borderId="0" xfId="0" applyFont="1" applyFill="1"/>
    <xf numFmtId="176" fontId="22" fillId="3" borderId="1" xfId="0" applyNumberFormat="1" applyFont="1" applyFill="1" applyBorder="1" applyAlignment="1">
      <alignment horizontal="right"/>
    </xf>
    <xf numFmtId="176" fontId="21" fillId="3" borderId="1" xfId="0" applyNumberFormat="1" applyFont="1" applyFill="1" applyBorder="1" applyAlignment="1">
      <alignment horizontal="right"/>
    </xf>
    <xf numFmtId="0" fontId="17" fillId="6" borderId="0" xfId="0" applyFont="1" applyFill="1"/>
    <xf numFmtId="0" fontId="16" fillId="6" borderId="0" xfId="0" applyFont="1" applyFill="1"/>
    <xf numFmtId="3" fontId="10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0" fontId="7" fillId="3" borderId="0" xfId="0" applyFont="1" applyFill="1"/>
    <xf numFmtId="3" fontId="23" fillId="3" borderId="1" xfId="0" applyNumberFormat="1" applyFont="1" applyFill="1" applyBorder="1" applyAlignment="1">
      <alignment horizontal="right"/>
    </xf>
    <xf numFmtId="0" fontId="16" fillId="3" borderId="1" xfId="0" applyFont="1" applyFill="1" applyBorder="1"/>
    <xf numFmtId="3" fontId="9" fillId="3" borderId="1" xfId="0" applyNumberFormat="1" applyFont="1" applyFill="1" applyBorder="1" applyAlignment="1">
      <alignment horizontal="right"/>
    </xf>
    <xf numFmtId="3" fontId="24" fillId="3" borderId="1" xfId="0" applyNumberFormat="1" applyFont="1" applyFill="1" applyBorder="1" applyAlignment="1">
      <alignment horizontal="right"/>
    </xf>
    <xf numFmtId="0" fontId="16" fillId="0" borderId="0" xfId="0" applyFont="1"/>
    <xf numFmtId="0" fontId="0" fillId="0" borderId="0" xfId="0"/>
    <xf numFmtId="0" fontId="19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I145"/>
  <sheetViews>
    <sheetView showGridLines="0" tabSelected="1" workbookViewId="0">
      <pane ySplit="1" topLeftCell="A11" activePane="bottomLeft" state="frozen"/>
      <selection pane="bottomLeft" activeCell="A49" sqref="A49"/>
    </sheetView>
  </sheetViews>
  <sheetFormatPr baseColWidth="10" defaultColWidth="8.83203125" defaultRowHeight="14"/>
  <cols>
    <col min="1" max="1" width="70" customWidth="1"/>
    <col min="2" max="9" width="14" customWidth="1"/>
  </cols>
  <sheetData>
    <row r="1" spans="1:9" ht="19">
      <c r="A1" s="30" t="s">
        <v>0</v>
      </c>
    </row>
    <row r="2" spans="1:9" ht="15">
      <c r="A2" s="6" t="s">
        <v>1</v>
      </c>
    </row>
    <row r="4" spans="1:9" ht="15">
      <c r="A4" s="29" t="s">
        <v>2</v>
      </c>
      <c r="B4" s="31"/>
      <c r="C4" s="31"/>
      <c r="D4" s="31"/>
      <c r="E4" s="31"/>
      <c r="F4" s="31"/>
      <c r="G4" s="31"/>
      <c r="H4" s="31"/>
      <c r="I4" s="31"/>
    </row>
    <row r="5" spans="1:9" ht="15">
      <c r="A5" s="32" t="s">
        <v>3</v>
      </c>
    </row>
    <row r="6" spans="1:9" ht="15">
      <c r="A6" s="32" t="s">
        <v>4</v>
      </c>
    </row>
    <row r="7" spans="1:9" ht="15">
      <c r="A7" s="32" t="s">
        <v>5</v>
      </c>
    </row>
    <row r="8" spans="1:9" ht="15">
      <c r="A8" s="32" t="s">
        <v>6</v>
      </c>
    </row>
    <row r="9" spans="1:9" ht="15">
      <c r="A9" s="32"/>
    </row>
    <row r="10" spans="1:9" ht="15">
      <c r="A10" s="18" t="s">
        <v>7</v>
      </c>
    </row>
    <row r="11" spans="1:9" ht="15">
      <c r="A11" s="7" t="s">
        <v>8</v>
      </c>
    </row>
    <row r="12" spans="1:9" ht="15">
      <c r="A12" s="7" t="s">
        <v>9</v>
      </c>
    </row>
    <row r="13" spans="1:9" ht="15">
      <c r="A13" s="7" t="s">
        <v>10</v>
      </c>
    </row>
    <row r="14" spans="1:9" ht="15">
      <c r="A14" s="7" t="s">
        <v>11</v>
      </c>
    </row>
    <row r="15" spans="1:9" ht="15">
      <c r="A15" s="7" t="s">
        <v>12</v>
      </c>
    </row>
    <row r="17" spans="1:9" ht="15">
      <c r="A17" s="29" t="s">
        <v>13</v>
      </c>
      <c r="B17" s="31"/>
      <c r="C17" s="31"/>
      <c r="D17" s="31"/>
      <c r="E17" s="31"/>
      <c r="F17" s="31"/>
      <c r="G17" s="31"/>
      <c r="H17" s="31"/>
      <c r="I17" s="31"/>
    </row>
    <row r="18" spans="1:9" ht="15">
      <c r="A18" s="33" t="s">
        <v>14</v>
      </c>
      <c r="B18" s="34" t="s">
        <v>15</v>
      </c>
      <c r="C18" s="34" t="s">
        <v>16</v>
      </c>
      <c r="D18" s="34" t="s">
        <v>17</v>
      </c>
      <c r="E18" s="35" t="s">
        <v>18</v>
      </c>
      <c r="F18" s="35" t="s">
        <v>19</v>
      </c>
      <c r="G18" s="35" t="s">
        <v>20</v>
      </c>
      <c r="H18" s="35" t="s">
        <v>21</v>
      </c>
      <c r="I18" s="35" t="s">
        <v>22</v>
      </c>
    </row>
    <row r="19" spans="1:9" ht="15">
      <c r="A19" s="7" t="s">
        <v>23</v>
      </c>
      <c r="B19" s="36">
        <f>IS!B5</f>
        <v>229</v>
      </c>
      <c r="C19" s="36">
        <f>IS!C5</f>
        <v>1915</v>
      </c>
      <c r="D19" s="36">
        <f>IS!D5</f>
        <v>5131</v>
      </c>
      <c r="E19" s="37">
        <f>IS!E5</f>
        <v>12500</v>
      </c>
      <c r="F19" s="37">
        <f>IS!F5</f>
        <v>20000</v>
      </c>
      <c r="G19" s="37">
        <f>IS!G5</f>
        <v>22000</v>
      </c>
      <c r="H19" s="37">
        <f>IS!H5</f>
        <v>24000</v>
      </c>
      <c r="I19" s="37">
        <f>IS!I5</f>
        <v>25000</v>
      </c>
    </row>
    <row r="20" spans="1:9" ht="15">
      <c r="A20" s="7" t="s">
        <v>24</v>
      </c>
      <c r="B20" s="38"/>
      <c r="C20" s="38">
        <f>IF(IS!B5=0,0,IS!C5/IS!B5-1)</f>
        <v>7.3624454148471621</v>
      </c>
      <c r="D20" s="38">
        <f>IF(IS!C5=0,0,IS!D5/IS!C5-1)</f>
        <v>1.679373368146214</v>
      </c>
      <c r="E20" s="39">
        <f>IF(IS!D5=0,0,IS!E5/IS!D5-1)</f>
        <v>1.4361722861040733</v>
      </c>
      <c r="F20" s="39">
        <f>IF(IS!E5=0,0,IS!F5/IS!E5-1)</f>
        <v>0.60000000000000009</v>
      </c>
      <c r="G20" s="39">
        <f>IF(IS!F5=0,0,IS!G5/IS!F5-1)</f>
        <v>0.10000000000000009</v>
      </c>
      <c r="H20" s="39">
        <f>IF(IS!G5=0,0,IS!H5/IS!G5-1)</f>
        <v>9.0909090909090828E-2</v>
      </c>
      <c r="I20" s="39">
        <f>IF(IS!H5=0,0,IS!I5/IS!H5-1)</f>
        <v>4.1666666666666741E-2</v>
      </c>
    </row>
    <row r="21" spans="1:9" ht="15">
      <c r="A21" s="7" t="s">
        <v>25</v>
      </c>
      <c r="B21" s="36">
        <f>IS!B11</f>
        <v>160</v>
      </c>
      <c r="C21" s="36">
        <f>IS!C11</f>
        <v>1422</v>
      </c>
      <c r="D21" s="36">
        <f>IS!D11</f>
        <v>3678</v>
      </c>
      <c r="E21" s="37">
        <f>IS!E11</f>
        <v>8750</v>
      </c>
      <c r="F21" s="37">
        <f>IS!F11</f>
        <v>14000</v>
      </c>
      <c r="G21" s="37">
        <f>IS!G11</f>
        <v>14960</v>
      </c>
      <c r="H21" s="37">
        <f>IS!H11</f>
        <v>16080</v>
      </c>
      <c r="I21" s="37">
        <f>IS!I11</f>
        <v>16500</v>
      </c>
    </row>
    <row r="22" spans="1:9" ht="15">
      <c r="A22" s="7" t="s">
        <v>26</v>
      </c>
      <c r="B22" s="38">
        <f>IF(IS!B5=0,0,IS!B11/IS!B5)</f>
        <v>0.69868995633187769</v>
      </c>
      <c r="C22" s="38">
        <f>IF(IS!C5=0,0,IS!C11/IS!C5)</f>
        <v>0.74255874673629241</v>
      </c>
      <c r="D22" s="38">
        <f>IF(IS!D5=0,0,IS!D11/IS!D5)</f>
        <v>0.71681933346326254</v>
      </c>
      <c r="E22" s="39">
        <f>IF(IS!E5=0,0,IS!E11/IS!E5)</f>
        <v>0.7</v>
      </c>
      <c r="F22" s="39">
        <f>IF(IS!F5=0,0,IS!F11/IS!F5)</f>
        <v>0.7</v>
      </c>
      <c r="G22" s="39">
        <f>IF(IS!G5=0,0,IS!G11/IS!G5)</f>
        <v>0.68</v>
      </c>
      <c r="H22" s="39">
        <f>IF(IS!H5=0,0,IS!H11/IS!H5)</f>
        <v>0.67</v>
      </c>
      <c r="I22" s="39">
        <f>IF(IS!I5=0,0,IS!I11/IS!I5)</f>
        <v>0.66</v>
      </c>
    </row>
    <row r="23" spans="1:9" ht="15">
      <c r="A23" s="7" t="s">
        <v>27</v>
      </c>
      <c r="B23" s="36">
        <f>IS!B43</f>
        <v>103</v>
      </c>
      <c r="C23" s="36">
        <f>IS!C43</f>
        <v>1218</v>
      </c>
      <c r="D23" s="36">
        <f>IS!D43</f>
        <v>3038</v>
      </c>
      <c r="E23" s="37">
        <f>IS!E43</f>
        <v>7425</v>
      </c>
      <c r="F23" s="37">
        <f>IS!F43</f>
        <v>11700</v>
      </c>
      <c r="G23" s="37">
        <f>IS!G43</f>
        <v>13550</v>
      </c>
      <c r="H23" s="37">
        <f>IS!H43</f>
        <v>14810</v>
      </c>
      <c r="I23" s="37">
        <f>IS!I43</f>
        <v>15350</v>
      </c>
    </row>
    <row r="24" spans="1:9" ht="15">
      <c r="A24" s="7" t="s">
        <v>28</v>
      </c>
      <c r="B24" s="38">
        <f>IF(IS!B5=0,0,IS!B43/IS!B5)</f>
        <v>0.44978165938864628</v>
      </c>
      <c r="C24" s="38">
        <f>IF(IS!C5=0,0,IS!C43/IS!C5)</f>
        <v>0.63603133159268932</v>
      </c>
      <c r="D24" s="38">
        <f>IF(IS!D5=0,0,IS!D43/IS!D5)</f>
        <v>0.592087312414734</v>
      </c>
      <c r="E24" s="39">
        <f>IF(IS!E5=0,0,IS!E43/IS!E5)</f>
        <v>0.59399999999999997</v>
      </c>
      <c r="F24" s="39">
        <f>IF(IS!F5=0,0,IS!F43/IS!F5)</f>
        <v>0.58499999999999996</v>
      </c>
      <c r="G24" s="39">
        <f>IF(IS!G5=0,0,IS!G43/IS!G5)</f>
        <v>0.61590909090909096</v>
      </c>
      <c r="H24" s="39">
        <f>IF(IS!H5=0,0,IS!H43/IS!H5)</f>
        <v>0.61708333333333332</v>
      </c>
      <c r="I24" s="39">
        <f>IF(IS!I5=0,0,IS!I43/IS!I5)</f>
        <v>0.61399999999999999</v>
      </c>
    </row>
    <row r="25" spans="1:9" ht="15">
      <c r="A25" s="7" t="s">
        <v>29</v>
      </c>
      <c r="B25" s="36">
        <f>IS!B22</f>
        <v>-15</v>
      </c>
      <c r="C25" s="36">
        <f>IS!C22</f>
        <v>324</v>
      </c>
      <c r="D25" s="36">
        <f>IS!D22</f>
        <v>-46</v>
      </c>
      <c r="E25" s="37">
        <f>IS!E22</f>
        <v>2125</v>
      </c>
      <c r="F25" s="37">
        <f>IS!F22</f>
        <v>5000</v>
      </c>
      <c r="G25" s="37">
        <f>IS!G22</f>
        <v>6050</v>
      </c>
      <c r="H25" s="37">
        <f>IS!H22</f>
        <v>6960</v>
      </c>
      <c r="I25" s="37">
        <f>IS!I22</f>
        <v>7250</v>
      </c>
    </row>
    <row r="26" spans="1:9" ht="15">
      <c r="A26" s="7" t="s">
        <v>30</v>
      </c>
      <c r="B26" s="38">
        <f>IF(IS!B5=0,0,IS!B22/IS!B5)</f>
        <v>-6.5502183406113537E-2</v>
      </c>
      <c r="C26" s="38">
        <f>IF(IS!C5=0,0,IS!C22/IS!C5)</f>
        <v>0.1691906005221932</v>
      </c>
      <c r="D26" s="38">
        <f>IF(IS!D5=0,0,IS!D22/IS!D5)</f>
        <v>-8.9651140128629899E-3</v>
      </c>
      <c r="E26" s="39">
        <f>IF(IS!E5=0,0,IS!E22/IS!E5)</f>
        <v>0.17</v>
      </c>
      <c r="F26" s="39">
        <f>IF(IS!F5=0,0,IS!F22/IS!F5)</f>
        <v>0.25</v>
      </c>
      <c r="G26" s="39">
        <f>IF(IS!G5=0,0,IS!G22/IS!G5)</f>
        <v>0.27500000000000002</v>
      </c>
      <c r="H26" s="39">
        <f>IF(IS!H5=0,0,IS!H22/IS!H5)</f>
        <v>0.28999999999999998</v>
      </c>
      <c r="I26" s="39">
        <f>IF(IS!I5=0,0,IS!I22/IS!I5)</f>
        <v>0.28999999999999998</v>
      </c>
    </row>
    <row r="27" spans="1:9" ht="15">
      <c r="A27" s="7" t="s">
        <v>31</v>
      </c>
      <c r="B27" s="36">
        <f>IS!B34</f>
        <v>-594</v>
      </c>
      <c r="C27" s="36">
        <f>IS!C34</f>
        <v>-863</v>
      </c>
      <c r="D27" s="36">
        <f>IS!D34</f>
        <v>-1167</v>
      </c>
      <c r="E27" s="37">
        <f>IS!E34</f>
        <v>-254.8</v>
      </c>
      <c r="F27" s="37">
        <f>IS!F34</f>
        <v>2118.5</v>
      </c>
      <c r="G27" s="37">
        <f>IS!G34</f>
        <v>3222</v>
      </c>
      <c r="H27" s="37">
        <f>IS!H34</f>
        <v>4071.5</v>
      </c>
      <c r="I27" s="37">
        <f>IS!I34</f>
        <v>4329.6000000000004</v>
      </c>
    </row>
    <row r="28" spans="1:9" ht="15">
      <c r="A28" s="7" t="s">
        <v>32</v>
      </c>
      <c r="B28" s="38">
        <f>IF(IS!B5=0,0,IS!B34/IS!B5)</f>
        <v>-2.5938864628820961</v>
      </c>
      <c r="C28" s="38">
        <f>IF(IS!C5=0,0,IS!C34/IS!C5)</f>
        <v>-0.4506527415143603</v>
      </c>
      <c r="D28" s="38">
        <f>IF(IS!D5=0,0,IS!D34/IS!D5)</f>
        <v>-0.22744104463067627</v>
      </c>
      <c r="E28" s="39">
        <f>IF(IS!E5=0,0,IS!E34/IS!E5)</f>
        <v>-2.0383999999999999E-2</v>
      </c>
      <c r="F28" s="39">
        <f>IF(IS!F5=0,0,IS!F34/IS!F5)</f>
        <v>0.10592500000000001</v>
      </c>
      <c r="G28" s="39">
        <f>IF(IS!G5=0,0,IS!G34/IS!G5)</f>
        <v>0.14645454545454545</v>
      </c>
      <c r="H28" s="39">
        <f>IF(IS!H5=0,0,IS!H34/IS!H5)</f>
        <v>0.16964583333333333</v>
      </c>
      <c r="I28" s="39">
        <f>IF(IS!I5=0,0,IS!I34/IS!I5)</f>
        <v>0.173184</v>
      </c>
    </row>
    <row r="29" spans="1:9" ht="15">
      <c r="A29" s="7" t="s">
        <v>33</v>
      </c>
      <c r="B29" s="40">
        <f>IS!B45</f>
        <v>-1.1299220087502377</v>
      </c>
      <c r="C29" s="40">
        <f>IS!C45</f>
        <v>-1.641620696214571</v>
      </c>
      <c r="D29" s="40">
        <f>IS!D45</f>
        <v>-2.2198972798173862</v>
      </c>
      <c r="E29" s="41">
        <f>IS!E45</f>
        <v>-0.46752293577981652</v>
      </c>
      <c r="F29" s="41">
        <f>IS!F45</f>
        <v>3.7166666666666668</v>
      </c>
      <c r="G29" s="41">
        <f>IS!G45</f>
        <v>5.37</v>
      </c>
      <c r="H29" s="41">
        <f>IS!H45</f>
        <v>6.5669354838709681</v>
      </c>
      <c r="I29" s="41">
        <f>IS!I45</f>
        <v>6.8182677165354333</v>
      </c>
    </row>
    <row r="31" spans="1:9" ht="15">
      <c r="A31" s="7" t="s">
        <v>34</v>
      </c>
      <c r="B31" s="6" t="s">
        <v>35</v>
      </c>
      <c r="C31" s="36">
        <f>BS!B18</f>
        <v>17833</v>
      </c>
      <c r="D31" s="36">
        <f>BS!C18</f>
        <v>49302</v>
      </c>
      <c r="E31" s="37">
        <f>BS!D18</f>
        <v>71413.076712328766</v>
      </c>
      <c r="F31" s="37">
        <f>BS!E18</f>
        <v>83942.535616438356</v>
      </c>
      <c r="G31" s="37">
        <f>BS!F18</f>
        <v>90506.590410958903</v>
      </c>
      <c r="H31" s="37">
        <f>BS!G18</f>
        <v>94786.583561643827</v>
      </c>
      <c r="I31" s="37">
        <f>BS!H18</f>
        <v>96034.81369863014</v>
      </c>
    </row>
    <row r="32" spans="1:9" ht="15">
      <c r="A32" s="7" t="s">
        <v>36</v>
      </c>
      <c r="B32" s="6" t="s">
        <v>35</v>
      </c>
      <c r="C32" s="36">
        <f>BS!B23+BS!B29</f>
        <v>7926</v>
      </c>
      <c r="D32" s="36">
        <f>BS!C23+BS!C29</f>
        <v>21373</v>
      </c>
      <c r="E32" s="37">
        <f>BS!D23+BS!D29</f>
        <v>35000</v>
      </c>
      <c r="F32" s="37">
        <f>BS!E23+BS!E29</f>
        <v>35000</v>
      </c>
      <c r="G32" s="37">
        <f>BS!F23+BS!F29</f>
        <v>32500</v>
      </c>
      <c r="H32" s="37">
        <f>BS!G23+BS!G29</f>
        <v>29000</v>
      </c>
      <c r="I32" s="37">
        <f>BS!H23+BS!H29</f>
        <v>25500</v>
      </c>
    </row>
    <row r="33" spans="1:9" ht="15">
      <c r="A33" s="7" t="s">
        <v>37</v>
      </c>
      <c r="B33" s="6" t="s">
        <v>35</v>
      </c>
      <c r="C33" s="36">
        <f>BS!B23+BS!B29-BS!B5</f>
        <v>6528</v>
      </c>
      <c r="D33" s="36">
        <f>BS!C23+BS!C29-BS!C5</f>
        <v>17393</v>
      </c>
      <c r="E33" s="37">
        <f>BS!D23+BS!D29-BS!D5</f>
        <v>27239.042191780827</v>
      </c>
      <c r="F33" s="37">
        <f>BS!E23+BS!E29-BS!E5</f>
        <v>30092.492624657527</v>
      </c>
      <c r="G33" s="37">
        <f>BS!F23+BS!F29-BS!F5</f>
        <v>29136.805383232877</v>
      </c>
      <c r="H33" s="37">
        <f>BS!G23+BS!G29-BS!G5</f>
        <v>24207.124096295898</v>
      </c>
      <c r="I33" s="37">
        <f>BS!H23+BS!H29-BS!H5</f>
        <v>19457.665892810415</v>
      </c>
    </row>
    <row r="34" spans="1:9" ht="15">
      <c r="A34" s="7" t="s">
        <v>38</v>
      </c>
      <c r="B34" s="6" t="s">
        <v>35</v>
      </c>
      <c r="C34" s="36">
        <f>BS!B42</f>
        <v>1308</v>
      </c>
      <c r="D34" s="36">
        <f>BS!C42</f>
        <v>3335</v>
      </c>
      <c r="E34" s="37">
        <f>BS!D42</f>
        <v>6880.2</v>
      </c>
      <c r="F34" s="37">
        <f>BS!E42</f>
        <v>13898.7</v>
      </c>
      <c r="G34" s="37">
        <f>BS!F42</f>
        <v>20120.7</v>
      </c>
      <c r="H34" s="37">
        <f>BS!G42</f>
        <v>26242.2</v>
      </c>
      <c r="I34" s="37">
        <f>BS!H42</f>
        <v>32171.8</v>
      </c>
    </row>
    <row r="35" spans="1:9" ht="15">
      <c r="A35" s="7" t="s">
        <v>39</v>
      </c>
      <c r="B35" s="6" t="s">
        <v>35</v>
      </c>
      <c r="C35" s="36">
        <f>BS!B5</f>
        <v>1398</v>
      </c>
      <c r="D35" s="36">
        <f>BS!C5</f>
        <v>3980</v>
      </c>
      <c r="E35" s="37">
        <f>BS!D5</f>
        <v>7760.9578082191729</v>
      </c>
      <c r="F35" s="37">
        <f>BS!E5</f>
        <v>4907.5073753424731</v>
      </c>
      <c r="G35" s="37">
        <f>BS!F5</f>
        <v>3363.1946167671231</v>
      </c>
      <c r="H35" s="37">
        <f>BS!G5</f>
        <v>4792.8759037041018</v>
      </c>
      <c r="I35" s="37">
        <f>BS!H5</f>
        <v>6042.3341071895829</v>
      </c>
    </row>
    <row r="37" spans="1:9" ht="15">
      <c r="A37" s="7" t="s">
        <v>40</v>
      </c>
      <c r="B37" s="36">
        <f>CF!B16</f>
        <v>1833</v>
      </c>
      <c r="C37" s="36">
        <f>CF!C16</f>
        <v>2749</v>
      </c>
      <c r="D37" s="36">
        <f>CF!D16</f>
        <v>3058</v>
      </c>
      <c r="E37" s="37">
        <f>CF!E16</f>
        <v>9480.9578082191729</v>
      </c>
      <c r="F37" s="37">
        <f>CF!F16</f>
        <v>3946.5495671233002</v>
      </c>
      <c r="G37" s="37">
        <f>CF!G16</f>
        <v>9355.68724142465</v>
      </c>
      <c r="H37" s="37">
        <f>CF!H16</f>
        <v>13329.681286936979</v>
      </c>
      <c r="I37" s="37">
        <f>CF!I16</f>
        <v>13649.458203485481</v>
      </c>
    </row>
    <row r="38" spans="1:9" ht="15">
      <c r="A38" s="7" t="s">
        <v>41</v>
      </c>
      <c r="B38" s="36">
        <f>CF!B19</f>
        <v>-2943</v>
      </c>
      <c r="C38" s="36">
        <f>CF!C19</f>
        <v>-8702</v>
      </c>
      <c r="D38" s="36">
        <f>CF!D19</f>
        <v>-10309</v>
      </c>
      <c r="E38" s="37">
        <f>CF!E19</f>
        <v>-20000</v>
      </c>
      <c r="F38" s="37">
        <f>CF!F19</f>
        <v>-18000</v>
      </c>
      <c r="G38" s="37">
        <f>CF!G19</f>
        <v>-15000</v>
      </c>
      <c r="H38" s="37">
        <f>CF!H19</f>
        <v>-12000</v>
      </c>
      <c r="I38" s="37">
        <f>CF!I19</f>
        <v>-10000</v>
      </c>
    </row>
    <row r="39" spans="1:9" ht="15">
      <c r="A39" s="7" t="s">
        <v>42</v>
      </c>
      <c r="B39" s="36">
        <f>CF!B38</f>
        <v>-1110</v>
      </c>
      <c r="C39" s="36">
        <f>CF!C38</f>
        <v>-5953</v>
      </c>
      <c r="D39" s="36">
        <f>CF!D38</f>
        <v>-7251</v>
      </c>
      <c r="E39" s="37">
        <f>CF!E38</f>
        <v>-10519.042191780827</v>
      </c>
      <c r="F39" s="37">
        <f>CF!F38</f>
        <v>-14053.4504328767</v>
      </c>
      <c r="G39" s="37">
        <f>CF!G38</f>
        <v>-5644.31275857535</v>
      </c>
      <c r="H39" s="37">
        <f>CF!H38</f>
        <v>1329.6812869369787</v>
      </c>
      <c r="I39" s="37">
        <f>CF!I38</f>
        <v>3649.4582034854811</v>
      </c>
    </row>
    <row r="41" spans="1:9" ht="15">
      <c r="A41" s="7" t="s">
        <v>43</v>
      </c>
      <c r="B41" s="42" t="s">
        <v>35</v>
      </c>
      <c r="C41" s="42" t="s">
        <v>35</v>
      </c>
      <c r="D41" s="38">
        <f>Returns!B16</f>
        <v>-1.7840789844289406E-3</v>
      </c>
      <c r="E41" s="39">
        <f>Returns!C16</f>
        <v>5.0108128016679042E-2</v>
      </c>
      <c r="F41" s="39">
        <f>Returns!D16</f>
        <v>7.9757915539813901E-2</v>
      </c>
      <c r="G41" s="39">
        <f>Returns!E16</f>
        <v>7.764777965630261E-2</v>
      </c>
      <c r="H41" s="39">
        <f>Returns!F16</f>
        <v>7.9034470512368532E-2</v>
      </c>
      <c r="I41" s="39">
        <f>Returns!G16</f>
        <v>7.8441053664925764E-2</v>
      </c>
    </row>
    <row r="42" spans="1:9" ht="15">
      <c r="A42" s="7" t="s">
        <v>44</v>
      </c>
      <c r="B42" s="42" t="s">
        <v>35</v>
      </c>
      <c r="C42" s="42" t="s">
        <v>35</v>
      </c>
      <c r="D42" s="38">
        <f>Returns!B21</f>
        <v>-0.50269222485461984</v>
      </c>
      <c r="E42" s="39">
        <f>Returns!C21</f>
        <v>-4.98864437309108E-2</v>
      </c>
      <c r="F42" s="39">
        <f>Returns!D21</f>
        <v>0.20390877284168074</v>
      </c>
      <c r="G42" s="39">
        <f>Returns!E21</f>
        <v>0.18942133018219015</v>
      </c>
      <c r="H42" s="39">
        <f>Returns!F21</f>
        <v>0.17563612284822563</v>
      </c>
      <c r="I42" s="39">
        <f>Returns!G21</f>
        <v>0.14823843599137193</v>
      </c>
    </row>
    <row r="43" spans="1:9" ht="15">
      <c r="A43" s="7" t="s">
        <v>45</v>
      </c>
      <c r="B43" s="42" t="s">
        <v>35</v>
      </c>
      <c r="C43" s="42" t="s">
        <v>35</v>
      </c>
      <c r="D43" s="38">
        <f>Returns!B26</f>
        <v>-3.4765770462500928E-2</v>
      </c>
      <c r="E43" s="39">
        <f>Returns!C26</f>
        <v>-4.2215107994704529E-3</v>
      </c>
      <c r="F43" s="39">
        <f>Returns!D26</f>
        <v>2.7272912362081667E-2</v>
      </c>
      <c r="G43" s="39">
        <f>Returns!E26</f>
        <v>3.6939136049256957E-2</v>
      </c>
      <c r="H43" s="39">
        <f>Returns!F26</f>
        <v>4.3946573019489732E-2</v>
      </c>
      <c r="I43" s="39">
        <f>Returns!G26</f>
        <v>4.5378558821624927E-2</v>
      </c>
    </row>
    <row r="44" spans="1:9" ht="15">
      <c r="A44" s="7" t="s">
        <v>46</v>
      </c>
      <c r="B44" s="43" t="s">
        <v>35</v>
      </c>
      <c r="C44" s="44">
        <f>IF(IS!C43=0,0,(BS!B23+BS!B29-BS!B5)/IS!C43)</f>
        <v>5.3596059113300489</v>
      </c>
      <c r="D44" s="44">
        <f>IF(IS!D43=0,0,(BS!C23+BS!C29-BS!C5)/IS!D43)</f>
        <v>5.725148123765635</v>
      </c>
      <c r="E44" s="45">
        <f>IF(IS!E43=0,0,(BS!D23+BS!D29-BS!D5)/IS!E43)</f>
        <v>3.6685578709469127</v>
      </c>
      <c r="F44" s="45">
        <f>IF(IS!F43=0,0,(BS!E23+BS!E29-BS!E5)/IS!F43)</f>
        <v>2.5720079166373955</v>
      </c>
      <c r="G44" s="45">
        <f>IF(IS!G43=0,0,(BS!F23+BS!F29-BS!F5)/IS!G43)</f>
        <v>2.1503177404599909</v>
      </c>
      <c r="H44" s="45">
        <f>IF(IS!H43=0,0,(BS!G23+BS!G29-BS!G5)/IS!H43)</f>
        <v>1.6345120929301755</v>
      </c>
      <c r="I44" s="45">
        <f>IF(IS!I43=0,0,(BS!H23+BS!H29-BS!H5)/IS!I43)</f>
        <v>1.267600383896444</v>
      </c>
    </row>
    <row r="46" spans="1:9" ht="15">
      <c r="A46" s="7" t="s">
        <v>47</v>
      </c>
    </row>
    <row r="47" spans="1:9" ht="15">
      <c r="A47" s="7" t="s">
        <v>48</v>
      </c>
    </row>
    <row r="48" spans="1:9" ht="15">
      <c r="A48" s="7" t="s">
        <v>49</v>
      </c>
    </row>
    <row r="49" spans="1:9" ht="15">
      <c r="A49" s="7" t="s">
        <v>50</v>
      </c>
    </row>
    <row r="51" spans="1:9" ht="15">
      <c r="A51" s="29" t="s">
        <v>51</v>
      </c>
      <c r="B51" s="31"/>
      <c r="C51" s="31"/>
      <c r="D51" s="31"/>
      <c r="E51" s="31"/>
      <c r="F51" s="31"/>
      <c r="G51" s="31"/>
      <c r="H51" s="31"/>
      <c r="I51" s="31"/>
    </row>
    <row r="52" spans="1:9" ht="15">
      <c r="A52" s="18" t="s">
        <v>52</v>
      </c>
    </row>
    <row r="53" spans="1:9" ht="15">
      <c r="A53" s="32" t="s">
        <v>53</v>
      </c>
    </row>
    <row r="54" spans="1:9" ht="15">
      <c r="A54" s="32" t="s">
        <v>54</v>
      </c>
    </row>
    <row r="55" spans="1:9" ht="15">
      <c r="A55" s="32" t="s">
        <v>55</v>
      </c>
    </row>
    <row r="56" spans="1:9" ht="15">
      <c r="A56" s="32" t="s">
        <v>56</v>
      </c>
    </row>
    <row r="57" spans="1:9" ht="15">
      <c r="A57" s="32" t="s">
        <v>57</v>
      </c>
    </row>
    <row r="58" spans="1:9" ht="15">
      <c r="A58" s="32" t="s">
        <v>58</v>
      </c>
    </row>
    <row r="59" spans="1:9" ht="15">
      <c r="A59" s="32" t="s">
        <v>59</v>
      </c>
    </row>
    <row r="61" spans="1:9" ht="15">
      <c r="A61" s="18" t="s">
        <v>60</v>
      </c>
    </row>
    <row r="62" spans="1:9" ht="15">
      <c r="A62" s="32" t="s">
        <v>61</v>
      </c>
    </row>
    <row r="63" spans="1:9" ht="15">
      <c r="A63" s="32" t="s">
        <v>62</v>
      </c>
    </row>
    <row r="64" spans="1:9" ht="15">
      <c r="A64" s="32" t="s">
        <v>63</v>
      </c>
    </row>
    <row r="65" spans="1:9" ht="15">
      <c r="A65" s="32" t="s">
        <v>64</v>
      </c>
    </row>
    <row r="66" spans="1:9" ht="15">
      <c r="A66" s="32" t="s">
        <v>65</v>
      </c>
    </row>
    <row r="67" spans="1:9" ht="15">
      <c r="A67" s="32" t="s">
        <v>66</v>
      </c>
    </row>
    <row r="69" spans="1:9" ht="15">
      <c r="A69" s="18" t="s">
        <v>67</v>
      </c>
    </row>
    <row r="70" spans="1:9" ht="15">
      <c r="A70" s="32" t="s">
        <v>68</v>
      </c>
    </row>
    <row r="71" spans="1:9" ht="15">
      <c r="A71" s="32" t="s">
        <v>69</v>
      </c>
    </row>
    <row r="72" spans="1:9" ht="15">
      <c r="A72" s="32" t="s">
        <v>70</v>
      </c>
    </row>
    <row r="73" spans="1:9" ht="15">
      <c r="A73" s="32" t="s">
        <v>71</v>
      </c>
    </row>
    <row r="74" spans="1:9" ht="15">
      <c r="A74" s="32" t="s">
        <v>72</v>
      </c>
    </row>
    <row r="75" spans="1:9" ht="15">
      <c r="A75" s="32" t="s">
        <v>73</v>
      </c>
    </row>
    <row r="76" spans="1:9" ht="15">
      <c r="A76" s="32" t="s">
        <v>74</v>
      </c>
    </row>
    <row r="77" spans="1:9" ht="15">
      <c r="A77" s="32" t="s">
        <v>75</v>
      </c>
    </row>
    <row r="80" spans="1:9" ht="15">
      <c r="A80" s="29" t="s">
        <v>76</v>
      </c>
      <c r="B80" s="31"/>
      <c r="C80" s="31"/>
      <c r="D80" s="31"/>
      <c r="E80" s="31"/>
      <c r="F80" s="31"/>
      <c r="G80" s="31"/>
      <c r="H80" s="31"/>
      <c r="I80" s="31"/>
    </row>
    <row r="81" spans="1:3" ht="15">
      <c r="A81" s="33" t="s">
        <v>77</v>
      </c>
      <c r="B81" s="33" t="s">
        <v>78</v>
      </c>
      <c r="C81" s="33" t="s">
        <v>79</v>
      </c>
    </row>
    <row r="82" spans="1:3" ht="15">
      <c r="A82" s="7" t="s">
        <v>80</v>
      </c>
      <c r="B82" s="27" t="s">
        <v>81</v>
      </c>
      <c r="C82" s="6" t="s">
        <v>82</v>
      </c>
    </row>
    <row r="83" spans="1:3" ht="15">
      <c r="A83" s="7" t="s">
        <v>83</v>
      </c>
      <c r="B83" s="27" t="s">
        <v>84</v>
      </c>
      <c r="C83" s="6" t="s">
        <v>85</v>
      </c>
    </row>
    <row r="84" spans="1:3" ht="15">
      <c r="A84" s="7" t="s">
        <v>86</v>
      </c>
      <c r="B84" s="27" t="s">
        <v>87</v>
      </c>
      <c r="C84" s="6" t="s">
        <v>85</v>
      </c>
    </row>
    <row r="85" spans="1:3" ht="15">
      <c r="A85" s="7" t="s">
        <v>88</v>
      </c>
      <c r="B85" s="27" t="s">
        <v>89</v>
      </c>
      <c r="C85" s="6" t="s">
        <v>90</v>
      </c>
    </row>
    <row r="86" spans="1:3" ht="15">
      <c r="A86" s="7" t="s">
        <v>91</v>
      </c>
      <c r="B86" s="27" t="s">
        <v>92</v>
      </c>
      <c r="C86" s="6" t="s">
        <v>93</v>
      </c>
    </row>
    <row r="87" spans="1:3" ht="15">
      <c r="A87" s="7" t="s">
        <v>94</v>
      </c>
      <c r="B87" s="27" t="s">
        <v>95</v>
      </c>
      <c r="C87" s="6" t="s">
        <v>96</v>
      </c>
    </row>
    <row r="88" spans="1:3" ht="15">
      <c r="A88" s="7" t="s">
        <v>97</v>
      </c>
      <c r="B88" s="27" t="s">
        <v>98</v>
      </c>
      <c r="C88" s="6" t="s">
        <v>99</v>
      </c>
    </row>
    <row r="90" spans="1:3" ht="15">
      <c r="A90" s="18" t="s">
        <v>100</v>
      </c>
    </row>
    <row r="91" spans="1:3" ht="15">
      <c r="A91" s="32" t="s">
        <v>101</v>
      </c>
    </row>
    <row r="92" spans="1:3" ht="15">
      <c r="A92" s="32" t="s">
        <v>102</v>
      </c>
    </row>
    <row r="93" spans="1:3" ht="15">
      <c r="A93" s="32" t="s">
        <v>103</v>
      </c>
    </row>
    <row r="94" spans="1:3" ht="15">
      <c r="A94" s="32" t="s">
        <v>104</v>
      </c>
    </row>
    <row r="95" spans="1:3" ht="15">
      <c r="A95" s="32" t="s">
        <v>105</v>
      </c>
    </row>
    <row r="96" spans="1:3" ht="15">
      <c r="A96" s="32" t="s">
        <v>106</v>
      </c>
    </row>
    <row r="97" spans="1:9" ht="15">
      <c r="A97" s="32" t="s">
        <v>107</v>
      </c>
    </row>
    <row r="100" spans="1:9" ht="15">
      <c r="A100" s="29" t="s">
        <v>108</v>
      </c>
      <c r="B100" s="31"/>
      <c r="C100" s="31"/>
      <c r="D100" s="31"/>
      <c r="E100" s="31"/>
      <c r="F100" s="31"/>
      <c r="G100" s="31"/>
      <c r="H100" s="31"/>
      <c r="I100" s="31"/>
    </row>
    <row r="101" spans="1:9" ht="15">
      <c r="A101" s="33" t="s">
        <v>109</v>
      </c>
      <c r="B101" s="33" t="s">
        <v>110</v>
      </c>
      <c r="C101" s="33" t="s">
        <v>111</v>
      </c>
      <c r="D101" s="33" t="s">
        <v>112</v>
      </c>
    </row>
    <row r="102" spans="1:9" ht="15">
      <c r="A102" s="25" t="s">
        <v>113</v>
      </c>
      <c r="B102" s="7" t="s">
        <v>114</v>
      </c>
      <c r="C102" s="32" t="s">
        <v>115</v>
      </c>
      <c r="D102" s="27" t="s">
        <v>116</v>
      </c>
    </row>
    <row r="103" spans="1:9" ht="15">
      <c r="A103" s="25" t="s">
        <v>117</v>
      </c>
      <c r="B103" s="7" t="s">
        <v>118</v>
      </c>
      <c r="C103" s="32" t="s">
        <v>119</v>
      </c>
      <c r="D103" s="27" t="s">
        <v>116</v>
      </c>
    </row>
    <row r="104" spans="1:9" ht="15">
      <c r="A104" s="25" t="s">
        <v>120</v>
      </c>
      <c r="B104" s="7" t="s">
        <v>121</v>
      </c>
      <c r="C104" s="32" t="s">
        <v>122</v>
      </c>
      <c r="D104" s="27" t="s">
        <v>123</v>
      </c>
    </row>
    <row r="105" spans="1:9" ht="15">
      <c r="A105" s="25" t="s">
        <v>120</v>
      </c>
      <c r="B105" s="7" t="s">
        <v>124</v>
      </c>
      <c r="C105" s="32" t="s">
        <v>125</v>
      </c>
      <c r="D105" s="27" t="s">
        <v>126</v>
      </c>
    </row>
    <row r="106" spans="1:9" ht="15">
      <c r="A106" s="25" t="s">
        <v>127</v>
      </c>
      <c r="B106" s="7" t="s">
        <v>128</v>
      </c>
      <c r="C106" s="32" t="s">
        <v>129</v>
      </c>
      <c r="D106" s="27" t="s">
        <v>126</v>
      </c>
    </row>
    <row r="107" spans="1:9" ht="15">
      <c r="A107" s="25" t="s">
        <v>130</v>
      </c>
      <c r="B107" s="7" t="s">
        <v>131</v>
      </c>
      <c r="C107" s="32" t="s">
        <v>132</v>
      </c>
      <c r="D107" s="27" t="s">
        <v>123</v>
      </c>
    </row>
    <row r="108" spans="1:9" ht="15">
      <c r="A108" s="25" t="s">
        <v>133</v>
      </c>
      <c r="B108" s="7" t="s">
        <v>134</v>
      </c>
      <c r="C108" s="32" t="s">
        <v>135</v>
      </c>
      <c r="D108" s="27" t="s">
        <v>126</v>
      </c>
    </row>
    <row r="109" spans="1:9" ht="15">
      <c r="A109" s="25" t="s">
        <v>136</v>
      </c>
      <c r="B109" s="7" t="s">
        <v>137</v>
      </c>
      <c r="C109" s="32" t="s">
        <v>138</v>
      </c>
      <c r="D109" s="27" t="s">
        <v>126</v>
      </c>
    </row>
    <row r="112" spans="1:9" ht="15">
      <c r="A112" s="29" t="s">
        <v>139</v>
      </c>
      <c r="B112" s="31"/>
      <c r="C112" s="31"/>
      <c r="D112" s="31"/>
      <c r="E112" s="31"/>
      <c r="F112" s="31"/>
      <c r="G112" s="31"/>
      <c r="H112" s="31"/>
      <c r="I112" s="31"/>
    </row>
    <row r="113" spans="1:9" ht="15">
      <c r="A113" s="33" t="s">
        <v>140</v>
      </c>
      <c r="B113" s="33" t="s">
        <v>141</v>
      </c>
      <c r="C113" s="33" t="s">
        <v>142</v>
      </c>
    </row>
    <row r="114" spans="1:9" ht="15">
      <c r="A114" s="7" t="s">
        <v>143</v>
      </c>
      <c r="B114" s="27" t="s">
        <v>144</v>
      </c>
      <c r="C114" s="32" t="s">
        <v>145</v>
      </c>
    </row>
    <row r="115" spans="1:9" ht="15">
      <c r="A115" s="7" t="s">
        <v>146</v>
      </c>
      <c r="B115" s="27" t="s">
        <v>144</v>
      </c>
      <c r="C115" s="32" t="s">
        <v>147</v>
      </c>
    </row>
    <row r="116" spans="1:9" ht="15">
      <c r="A116" s="7" t="s">
        <v>148</v>
      </c>
      <c r="B116" s="27" t="s">
        <v>144</v>
      </c>
      <c r="C116" s="32" t="s">
        <v>149</v>
      </c>
    </row>
    <row r="117" spans="1:9" ht="15">
      <c r="A117" s="7" t="s">
        <v>150</v>
      </c>
      <c r="B117" s="27" t="s">
        <v>151</v>
      </c>
      <c r="C117" s="32" t="s">
        <v>152</v>
      </c>
    </row>
    <row r="118" spans="1:9" ht="15">
      <c r="A118" s="7" t="s">
        <v>153</v>
      </c>
      <c r="B118" s="27" t="s">
        <v>151</v>
      </c>
      <c r="C118" s="32" t="s">
        <v>154</v>
      </c>
    </row>
    <row r="119" spans="1:9" ht="15">
      <c r="A119" s="7" t="s">
        <v>155</v>
      </c>
      <c r="B119" s="27" t="s">
        <v>151</v>
      </c>
      <c r="C119" s="32" t="s">
        <v>156</v>
      </c>
    </row>
    <row r="120" spans="1:9" ht="15">
      <c r="A120" s="7" t="s">
        <v>157</v>
      </c>
      <c r="B120" s="27" t="s">
        <v>151</v>
      </c>
      <c r="C120" s="32" t="s">
        <v>158</v>
      </c>
    </row>
    <row r="121" spans="1:9" ht="15">
      <c r="A121" s="7" t="s">
        <v>159</v>
      </c>
      <c r="B121" s="27" t="s">
        <v>160</v>
      </c>
      <c r="C121" s="32" t="s">
        <v>161</v>
      </c>
    </row>
    <row r="124" spans="1:9" ht="15">
      <c r="A124" s="29" t="s">
        <v>162</v>
      </c>
      <c r="B124" s="31"/>
      <c r="C124" s="31"/>
      <c r="D124" s="31"/>
      <c r="E124" s="31"/>
      <c r="F124" s="31"/>
      <c r="G124" s="31"/>
      <c r="H124" s="31"/>
      <c r="I124" s="31"/>
    </row>
    <row r="125" spans="1:9" ht="15">
      <c r="A125" s="32" t="s">
        <v>163</v>
      </c>
    </row>
    <row r="126" spans="1:9" ht="15">
      <c r="A126" s="32" t="s">
        <v>164</v>
      </c>
    </row>
    <row r="127" spans="1:9" ht="15">
      <c r="A127" s="32"/>
    </row>
    <row r="128" spans="1:9" ht="15">
      <c r="A128" s="32" t="s">
        <v>165</v>
      </c>
    </row>
    <row r="129" spans="1:1" ht="15">
      <c r="A129" s="32" t="s">
        <v>166</v>
      </c>
    </row>
    <row r="130" spans="1:1" ht="15">
      <c r="A130" s="32" t="s">
        <v>167</v>
      </c>
    </row>
    <row r="131" spans="1:1" ht="15">
      <c r="A131" s="32" t="s">
        <v>168</v>
      </c>
    </row>
    <row r="132" spans="1:1" ht="15">
      <c r="A132" s="32" t="s">
        <v>169</v>
      </c>
    </row>
    <row r="133" spans="1:1" ht="15">
      <c r="A133" s="32" t="s">
        <v>170</v>
      </c>
    </row>
    <row r="134" spans="1:1" ht="15">
      <c r="A134" s="32"/>
    </row>
    <row r="135" spans="1:1" ht="15">
      <c r="A135" s="7" t="s">
        <v>171</v>
      </c>
    </row>
    <row r="136" spans="1:1" ht="15">
      <c r="A136" s="7" t="s">
        <v>172</v>
      </c>
    </row>
    <row r="137" spans="1:1" ht="15">
      <c r="A137" s="7" t="s">
        <v>173</v>
      </c>
    </row>
    <row r="138" spans="1:1" ht="15">
      <c r="A138" s="7" t="s">
        <v>174</v>
      </c>
    </row>
    <row r="139" spans="1:1" ht="15">
      <c r="A139" s="7" t="s">
        <v>175</v>
      </c>
    </row>
    <row r="140" spans="1:1" ht="15">
      <c r="A140" s="7" t="s">
        <v>176</v>
      </c>
    </row>
    <row r="141" spans="1:1" ht="15">
      <c r="A141" s="32"/>
    </row>
    <row r="142" spans="1:1" ht="15">
      <c r="A142" s="32" t="s">
        <v>177</v>
      </c>
    </row>
    <row r="143" spans="1:1" ht="15">
      <c r="A143" s="32" t="s">
        <v>178</v>
      </c>
    </row>
    <row r="144" spans="1:1" ht="15">
      <c r="A144" s="32" t="s">
        <v>179</v>
      </c>
    </row>
    <row r="145" spans="1:1" ht="15">
      <c r="A145" s="32" t="s">
        <v>180</v>
      </c>
    </row>
  </sheetData>
  <phoneticPr fontId="2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496"/>
  </sheetPr>
  <dimension ref="A1:G82"/>
  <sheetViews>
    <sheetView showGridLines="0" workbookViewId="0">
      <pane xSplit="1" ySplit="3" topLeftCell="B36" activePane="bottomRight" state="frozen"/>
      <selection pane="topRight"/>
      <selection pane="bottomLeft"/>
      <selection pane="bottomRight" sqref="A1:G1"/>
    </sheetView>
  </sheetViews>
  <sheetFormatPr baseColWidth="10" defaultColWidth="8.83203125" defaultRowHeight="14"/>
  <cols>
    <col min="1" max="1" width="35" customWidth="1"/>
    <col min="2" max="6" width="14" customWidth="1"/>
    <col min="7" max="7" width="45" customWidth="1"/>
  </cols>
  <sheetData>
    <row r="1" spans="1:7" ht="19">
      <c r="A1" s="104" t="s">
        <v>181</v>
      </c>
      <c r="B1" s="103"/>
      <c r="C1" s="103"/>
      <c r="D1" s="103"/>
      <c r="E1" s="103"/>
      <c r="F1" s="103"/>
      <c r="G1" s="103"/>
    </row>
    <row r="2" spans="1:7" ht="15">
      <c r="A2" s="102" t="s">
        <v>182</v>
      </c>
      <c r="B2" s="103"/>
      <c r="C2" s="103"/>
      <c r="D2" s="103"/>
      <c r="E2" s="103"/>
      <c r="F2" s="103"/>
      <c r="G2" s="103"/>
    </row>
    <row r="3" spans="1:7" ht="15">
      <c r="A3" s="8" t="s">
        <v>183</v>
      </c>
      <c r="B3" s="9" t="s">
        <v>18</v>
      </c>
      <c r="C3" s="9" t="s">
        <v>19</v>
      </c>
      <c r="D3" s="9" t="s">
        <v>20</v>
      </c>
      <c r="E3" s="9" t="s">
        <v>21</v>
      </c>
      <c r="F3" s="9" t="s">
        <v>22</v>
      </c>
      <c r="G3" s="8" t="s">
        <v>184</v>
      </c>
    </row>
    <row r="4" spans="1:7" ht="15">
      <c r="A4" s="46" t="s">
        <v>185</v>
      </c>
      <c r="B4" s="2"/>
      <c r="C4" s="2"/>
      <c r="D4" s="2"/>
      <c r="E4" s="2"/>
      <c r="F4" s="2"/>
      <c r="G4" s="2"/>
    </row>
    <row r="5" spans="1:7" ht="15">
      <c r="A5" s="80" t="s">
        <v>23</v>
      </c>
      <c r="B5" s="81">
        <v>12500</v>
      </c>
      <c r="C5" s="81">
        <v>20000</v>
      </c>
      <c r="D5" s="81">
        <v>22000</v>
      </c>
      <c r="E5" s="81">
        <v>24000</v>
      </c>
      <c r="F5" s="81">
        <v>25000</v>
      </c>
      <c r="G5" s="82" t="s">
        <v>186</v>
      </c>
    </row>
    <row r="6" spans="1:7" ht="15">
      <c r="A6" s="80" t="s">
        <v>187</v>
      </c>
      <c r="B6" s="83">
        <v>1.4359999999999999</v>
      </c>
      <c r="C6" s="83">
        <v>0.6</v>
      </c>
      <c r="D6" s="83">
        <v>0.1</v>
      </c>
      <c r="E6" s="83">
        <v>9.0999999999999998E-2</v>
      </c>
      <c r="F6" s="83">
        <v>4.2000000000000003E-2</v>
      </c>
      <c r="G6" s="82" t="s">
        <v>188</v>
      </c>
    </row>
    <row r="8" spans="1:7" ht="15">
      <c r="A8" s="46" t="s">
        <v>189</v>
      </c>
      <c r="B8" s="2"/>
      <c r="C8" s="2"/>
      <c r="D8" s="2"/>
      <c r="E8" s="2"/>
      <c r="F8" s="2"/>
      <c r="G8" s="2"/>
    </row>
    <row r="9" spans="1:7" ht="15">
      <c r="A9" s="80" t="s">
        <v>26</v>
      </c>
      <c r="B9" s="83">
        <v>0.7</v>
      </c>
      <c r="C9" s="83">
        <v>0.7</v>
      </c>
      <c r="D9" s="83">
        <v>0.68</v>
      </c>
      <c r="E9" s="83">
        <v>0.67</v>
      </c>
      <c r="F9" s="83">
        <v>0.66</v>
      </c>
      <c r="G9" s="82" t="s">
        <v>190</v>
      </c>
    </row>
    <row r="10" spans="1:7" ht="15">
      <c r="A10" s="84" t="s">
        <v>191</v>
      </c>
      <c r="B10" s="98">
        <v>3750</v>
      </c>
      <c r="C10" s="98">
        <v>6000</v>
      </c>
      <c r="D10" s="98">
        <v>7040</v>
      </c>
      <c r="E10" s="98">
        <v>7920</v>
      </c>
      <c r="F10" s="98">
        <v>8500</v>
      </c>
      <c r="G10" s="99"/>
    </row>
    <row r="12" spans="1:7" ht="15">
      <c r="A12" s="46" t="s">
        <v>192</v>
      </c>
      <c r="B12" s="2"/>
      <c r="C12" s="2"/>
      <c r="D12" s="2"/>
      <c r="E12" s="2"/>
      <c r="F12" s="2"/>
      <c r="G12" s="2"/>
    </row>
    <row r="13" spans="1:7" ht="15">
      <c r="A13" s="80" t="s">
        <v>193</v>
      </c>
      <c r="B13" s="83">
        <v>0.45</v>
      </c>
      <c r="C13" s="83">
        <v>0.38</v>
      </c>
      <c r="D13" s="83">
        <v>0.34</v>
      </c>
      <c r="E13" s="83">
        <v>0.32</v>
      </c>
      <c r="F13" s="83">
        <v>0.31</v>
      </c>
      <c r="G13" s="82" t="s">
        <v>194</v>
      </c>
    </row>
    <row r="14" spans="1:7" ht="15">
      <c r="A14" s="80" t="s">
        <v>195</v>
      </c>
      <c r="B14" s="83">
        <v>2.5000000000000001E-2</v>
      </c>
      <c r="C14" s="83">
        <v>2.5000000000000001E-2</v>
      </c>
      <c r="D14" s="83">
        <v>2.5000000000000001E-2</v>
      </c>
      <c r="E14" s="83">
        <v>2.5000000000000001E-2</v>
      </c>
      <c r="F14" s="83">
        <v>2.5000000000000001E-2</v>
      </c>
      <c r="G14" s="82" t="s">
        <v>196</v>
      </c>
    </row>
    <row r="15" spans="1:7" ht="15">
      <c r="A15" s="80" t="s">
        <v>197</v>
      </c>
      <c r="B15" s="83">
        <v>5.5E-2</v>
      </c>
      <c r="C15" s="83">
        <v>4.4999999999999998E-2</v>
      </c>
      <c r="D15" s="83">
        <v>0.04</v>
      </c>
      <c r="E15" s="83">
        <v>3.5000000000000003E-2</v>
      </c>
      <c r="F15" s="83">
        <v>3.5000000000000003E-2</v>
      </c>
      <c r="G15" s="82" t="s">
        <v>198</v>
      </c>
    </row>
    <row r="17" spans="1:7" ht="15">
      <c r="A17" s="46" t="s">
        <v>199</v>
      </c>
      <c r="B17" s="2"/>
      <c r="C17" s="2"/>
      <c r="D17" s="2"/>
      <c r="E17" s="2"/>
      <c r="F17" s="2"/>
      <c r="G17" s="2"/>
    </row>
    <row r="18" spans="1:7" ht="15">
      <c r="A18" s="84" t="s">
        <v>200</v>
      </c>
      <c r="B18" s="98">
        <v>4500</v>
      </c>
      <c r="C18" s="98">
        <v>5800</v>
      </c>
      <c r="D18" s="98">
        <v>6500</v>
      </c>
      <c r="E18" s="98">
        <v>6800</v>
      </c>
      <c r="F18" s="98">
        <v>7000</v>
      </c>
      <c r="G18" s="99" t="s">
        <v>201</v>
      </c>
    </row>
    <row r="19" spans="1:7" ht="15">
      <c r="A19" s="84" t="s">
        <v>202</v>
      </c>
      <c r="B19" s="98">
        <v>800</v>
      </c>
      <c r="C19" s="98">
        <v>900</v>
      </c>
      <c r="D19" s="98">
        <v>1000</v>
      </c>
      <c r="E19" s="98">
        <v>1050</v>
      </c>
      <c r="F19" s="98">
        <v>1100</v>
      </c>
      <c r="G19" s="99" t="s">
        <v>203</v>
      </c>
    </row>
    <row r="20" spans="1:7" ht="15">
      <c r="A20" s="80" t="s">
        <v>204</v>
      </c>
      <c r="B20" s="81">
        <v>2400</v>
      </c>
      <c r="C20" s="81">
        <v>2800</v>
      </c>
      <c r="D20" s="81">
        <v>2500</v>
      </c>
      <c r="E20" s="81">
        <v>2200</v>
      </c>
      <c r="F20" s="81">
        <v>2000</v>
      </c>
      <c r="G20" s="82" t="s">
        <v>205</v>
      </c>
    </row>
    <row r="21" spans="1:7" ht="15">
      <c r="A21" s="80" t="s">
        <v>206</v>
      </c>
      <c r="B21" s="81">
        <v>0</v>
      </c>
      <c r="C21" s="81">
        <v>0</v>
      </c>
      <c r="D21" s="81">
        <v>0</v>
      </c>
      <c r="E21" s="81">
        <v>0</v>
      </c>
      <c r="F21" s="81">
        <v>0</v>
      </c>
      <c r="G21" s="82" t="s">
        <v>207</v>
      </c>
    </row>
    <row r="22" spans="1:7" ht="15">
      <c r="A22" s="80" t="s">
        <v>208</v>
      </c>
      <c r="B22" s="81">
        <v>30</v>
      </c>
      <c r="C22" s="81">
        <v>30</v>
      </c>
      <c r="D22" s="81">
        <v>30</v>
      </c>
      <c r="E22" s="81">
        <v>30</v>
      </c>
      <c r="F22" s="81">
        <v>30</v>
      </c>
      <c r="G22" s="82" t="s">
        <v>209</v>
      </c>
    </row>
    <row r="23" spans="1:7" ht="15">
      <c r="A23" s="80" t="s">
        <v>210</v>
      </c>
      <c r="B23" s="83">
        <v>-0.04</v>
      </c>
      <c r="C23" s="83">
        <v>0.05</v>
      </c>
      <c r="D23" s="83">
        <v>0.1</v>
      </c>
      <c r="E23" s="83">
        <v>0.15</v>
      </c>
      <c r="F23" s="83">
        <v>0.18</v>
      </c>
      <c r="G23" s="82" t="s">
        <v>211</v>
      </c>
    </row>
    <row r="25" spans="1:7" ht="15">
      <c r="A25" s="46" t="s">
        <v>212</v>
      </c>
      <c r="B25" s="2"/>
      <c r="C25" s="2"/>
      <c r="D25" s="2"/>
      <c r="E25" s="2"/>
      <c r="F25" s="2"/>
      <c r="G25" s="2"/>
    </row>
    <row r="26" spans="1:7" ht="15">
      <c r="A26" s="80" t="s">
        <v>213</v>
      </c>
      <c r="B26" s="81">
        <v>85</v>
      </c>
      <c r="C26" s="81">
        <v>75</v>
      </c>
      <c r="D26" s="81">
        <v>70</v>
      </c>
      <c r="E26" s="81">
        <v>65</v>
      </c>
      <c r="F26" s="81">
        <v>65</v>
      </c>
      <c r="G26" s="82" t="s">
        <v>214</v>
      </c>
    </row>
    <row r="27" spans="1:7" ht="15">
      <c r="A27" s="80" t="s">
        <v>215</v>
      </c>
      <c r="B27" s="81">
        <v>500</v>
      </c>
      <c r="C27" s="81">
        <v>600</v>
      </c>
      <c r="D27" s="81">
        <v>650</v>
      </c>
      <c r="E27" s="81">
        <v>700</v>
      </c>
      <c r="F27" s="81">
        <v>700</v>
      </c>
      <c r="G27" s="82" t="s">
        <v>216</v>
      </c>
    </row>
    <row r="28" spans="1:7" ht="15">
      <c r="A28" s="80" t="s">
        <v>217</v>
      </c>
      <c r="B28" s="81">
        <v>120</v>
      </c>
      <c r="C28" s="81">
        <v>100</v>
      </c>
      <c r="D28" s="81">
        <v>90</v>
      </c>
      <c r="E28" s="81">
        <v>85</v>
      </c>
      <c r="F28" s="81">
        <v>80</v>
      </c>
      <c r="G28" s="82" t="s">
        <v>218</v>
      </c>
    </row>
    <row r="29" spans="1:7" ht="15">
      <c r="A29" s="80" t="s">
        <v>219</v>
      </c>
      <c r="B29" s="81">
        <v>6500</v>
      </c>
      <c r="C29" s="81">
        <v>7000</v>
      </c>
      <c r="D29" s="81">
        <v>7500</v>
      </c>
      <c r="E29" s="81">
        <v>7800</v>
      </c>
      <c r="F29" s="81">
        <v>8000</v>
      </c>
      <c r="G29" s="82" t="s">
        <v>220</v>
      </c>
    </row>
    <row r="30" spans="1:7" ht="15">
      <c r="A30" s="80" t="s">
        <v>221</v>
      </c>
      <c r="B30" s="81">
        <v>2500</v>
      </c>
      <c r="C30" s="81">
        <v>3000</v>
      </c>
      <c r="D30" s="81">
        <v>3200</v>
      </c>
      <c r="E30" s="81">
        <v>3400</v>
      </c>
      <c r="F30" s="81">
        <v>3500</v>
      </c>
      <c r="G30" s="82" t="s">
        <v>222</v>
      </c>
    </row>
    <row r="31" spans="1:7" ht="15">
      <c r="A31" s="80" t="s">
        <v>223</v>
      </c>
      <c r="B31" s="81">
        <v>800</v>
      </c>
      <c r="C31" s="81">
        <v>900</v>
      </c>
      <c r="D31" s="81">
        <v>950</v>
      </c>
      <c r="E31" s="81">
        <v>1000</v>
      </c>
      <c r="F31" s="81">
        <v>1000</v>
      </c>
      <c r="G31" s="82" t="s">
        <v>224</v>
      </c>
    </row>
    <row r="32" spans="1:7" ht="15">
      <c r="A32" s="80" t="s">
        <v>225</v>
      </c>
      <c r="B32" s="81">
        <v>8000</v>
      </c>
      <c r="C32" s="81">
        <v>10000</v>
      </c>
      <c r="D32" s="81">
        <v>11000</v>
      </c>
      <c r="E32" s="81">
        <v>11500</v>
      </c>
      <c r="F32" s="81">
        <v>10000</v>
      </c>
      <c r="G32" s="82" t="s">
        <v>226</v>
      </c>
    </row>
    <row r="34" spans="1:7" ht="15">
      <c r="A34" s="46" t="s">
        <v>227</v>
      </c>
      <c r="B34" s="2"/>
      <c r="C34" s="2"/>
      <c r="D34" s="2"/>
      <c r="E34" s="2"/>
      <c r="F34" s="2"/>
      <c r="G34" s="2"/>
    </row>
    <row r="35" spans="1:7" ht="15">
      <c r="A35" s="80" t="s">
        <v>228</v>
      </c>
      <c r="B35" s="81">
        <v>20000</v>
      </c>
      <c r="C35" s="81">
        <v>18000</v>
      </c>
      <c r="D35" s="81">
        <v>15000</v>
      </c>
      <c r="E35" s="81">
        <v>12000</v>
      </c>
      <c r="F35" s="81">
        <v>10000</v>
      </c>
      <c r="G35" s="82" t="s">
        <v>229</v>
      </c>
    </row>
    <row r="36" spans="1:7" ht="15">
      <c r="A36" s="80" t="s">
        <v>230</v>
      </c>
      <c r="B36" s="83">
        <v>0.12</v>
      </c>
      <c r="C36" s="83">
        <v>0.13</v>
      </c>
      <c r="D36" s="83">
        <v>0.14000000000000001</v>
      </c>
      <c r="E36" s="83">
        <v>0.15</v>
      </c>
      <c r="F36" s="83">
        <v>0.15</v>
      </c>
      <c r="G36" s="82" t="s">
        <v>231</v>
      </c>
    </row>
    <row r="37" spans="1:7" ht="15">
      <c r="A37" s="80" t="s">
        <v>232</v>
      </c>
      <c r="B37" s="81">
        <v>250</v>
      </c>
      <c r="C37" s="81">
        <v>230</v>
      </c>
      <c r="D37" s="81">
        <v>210</v>
      </c>
      <c r="E37" s="81">
        <v>190</v>
      </c>
      <c r="F37" s="81">
        <v>170</v>
      </c>
      <c r="G37" s="82" t="s">
        <v>233</v>
      </c>
    </row>
    <row r="38" spans="1:7" ht="15">
      <c r="A38" s="80" t="s">
        <v>234</v>
      </c>
      <c r="B38" s="81">
        <v>1101</v>
      </c>
      <c r="C38" s="81">
        <v>1101</v>
      </c>
      <c r="D38" s="81">
        <v>1101</v>
      </c>
      <c r="E38" s="81">
        <v>1101</v>
      </c>
      <c r="F38" s="81">
        <v>1101</v>
      </c>
      <c r="G38" s="82" t="s">
        <v>235</v>
      </c>
    </row>
    <row r="39" spans="1:7" ht="15">
      <c r="A39" s="80" t="s">
        <v>236</v>
      </c>
      <c r="B39" s="81">
        <v>10000</v>
      </c>
      <c r="C39" s="81">
        <v>12000</v>
      </c>
      <c r="D39" s="81">
        <v>13000</v>
      </c>
      <c r="E39" s="81">
        <v>13500</v>
      </c>
      <c r="F39" s="81">
        <v>13500</v>
      </c>
      <c r="G39" s="82" t="s">
        <v>237</v>
      </c>
    </row>
    <row r="40" spans="1:7" ht="15">
      <c r="A40" s="80" t="s">
        <v>238</v>
      </c>
      <c r="B40" s="81">
        <v>2000</v>
      </c>
      <c r="C40" s="81">
        <v>2200</v>
      </c>
      <c r="D40" s="81">
        <v>2400</v>
      </c>
      <c r="E40" s="81">
        <v>2500</v>
      </c>
      <c r="F40" s="81">
        <v>2500</v>
      </c>
      <c r="G40" s="82" t="s">
        <v>239</v>
      </c>
    </row>
    <row r="42" spans="1:7" ht="15">
      <c r="A42" s="46" t="s">
        <v>240</v>
      </c>
      <c r="B42" s="2"/>
      <c r="C42" s="2"/>
      <c r="D42" s="2"/>
      <c r="E42" s="2"/>
      <c r="F42" s="2"/>
      <c r="G42" s="2"/>
    </row>
    <row r="43" spans="1:7" ht="15">
      <c r="A43" s="80" t="s">
        <v>241</v>
      </c>
      <c r="B43" s="81">
        <v>8000</v>
      </c>
      <c r="C43" s="81">
        <v>7000</v>
      </c>
      <c r="D43" s="81">
        <v>6500</v>
      </c>
      <c r="E43" s="81">
        <v>6000</v>
      </c>
      <c r="F43" s="81">
        <v>5500</v>
      </c>
      <c r="G43" s="82" t="s">
        <v>242</v>
      </c>
    </row>
    <row r="44" spans="1:7" ht="15">
      <c r="A44" s="80" t="s">
        <v>243</v>
      </c>
      <c r="B44" s="81">
        <v>27000</v>
      </c>
      <c r="C44" s="81">
        <v>28000</v>
      </c>
      <c r="D44" s="81">
        <v>26000</v>
      </c>
      <c r="E44" s="81">
        <v>23000</v>
      </c>
      <c r="F44" s="81">
        <v>20000</v>
      </c>
      <c r="G44" s="82" t="s">
        <v>244</v>
      </c>
    </row>
    <row r="45" spans="1:7" ht="15">
      <c r="A45" s="80" t="s">
        <v>245</v>
      </c>
      <c r="B45" s="81">
        <v>10000</v>
      </c>
      <c r="C45" s="81">
        <v>12000</v>
      </c>
      <c r="D45" s="81">
        <v>13000</v>
      </c>
      <c r="E45" s="81">
        <v>13500</v>
      </c>
      <c r="F45" s="81">
        <v>13500</v>
      </c>
      <c r="G45" s="82" t="s">
        <v>246</v>
      </c>
    </row>
    <row r="46" spans="1:7" ht="15">
      <c r="A46" s="80" t="s">
        <v>247</v>
      </c>
      <c r="B46" s="81">
        <v>500</v>
      </c>
      <c r="C46" s="81">
        <v>500</v>
      </c>
      <c r="D46" s="81">
        <v>500</v>
      </c>
      <c r="E46" s="81">
        <v>500</v>
      </c>
      <c r="F46" s="81">
        <v>500</v>
      </c>
      <c r="G46" s="82" t="s">
        <v>248</v>
      </c>
    </row>
    <row r="48" spans="1:7" ht="15">
      <c r="A48" s="46" t="s">
        <v>249</v>
      </c>
      <c r="B48" s="2"/>
      <c r="C48" s="2"/>
      <c r="D48" s="2"/>
      <c r="E48" s="2"/>
      <c r="F48" s="2"/>
      <c r="G48" s="2"/>
    </row>
    <row r="49" spans="1:7" ht="15">
      <c r="A49" s="80" t="s">
        <v>250</v>
      </c>
      <c r="B49" s="81">
        <v>3000</v>
      </c>
      <c r="C49" s="81">
        <v>4000</v>
      </c>
      <c r="D49" s="81">
        <v>2000</v>
      </c>
      <c r="E49" s="81">
        <v>1000</v>
      </c>
      <c r="F49" s="81">
        <v>500</v>
      </c>
      <c r="G49" s="82" t="s">
        <v>251</v>
      </c>
    </row>
    <row r="50" spans="1:7" ht="15">
      <c r="A50" s="80" t="s">
        <v>252</v>
      </c>
      <c r="B50" s="81">
        <v>545</v>
      </c>
      <c r="C50" s="81">
        <v>570</v>
      </c>
      <c r="D50" s="81">
        <v>600</v>
      </c>
      <c r="E50" s="81">
        <v>620</v>
      </c>
      <c r="F50" s="81">
        <v>635</v>
      </c>
      <c r="G50" s="82" t="s">
        <v>253</v>
      </c>
    </row>
    <row r="51" spans="1:7" ht="15">
      <c r="A51" s="80" t="s">
        <v>254</v>
      </c>
      <c r="B51" s="81">
        <v>0</v>
      </c>
      <c r="C51" s="81">
        <v>0</v>
      </c>
      <c r="D51" s="81">
        <v>0</v>
      </c>
      <c r="E51" s="81">
        <v>0</v>
      </c>
      <c r="F51" s="81">
        <v>0</v>
      </c>
      <c r="G51" s="82" t="s">
        <v>255</v>
      </c>
    </row>
    <row r="53" spans="1:7" ht="15">
      <c r="A53" s="46" t="s">
        <v>256</v>
      </c>
      <c r="B53" s="2"/>
      <c r="C53" s="2"/>
      <c r="D53" s="2"/>
      <c r="E53" s="2"/>
      <c r="F53" s="2"/>
      <c r="G53" s="2"/>
    </row>
    <row r="54" spans="1:7" ht="15">
      <c r="A54" s="80" t="s">
        <v>257</v>
      </c>
      <c r="B54" s="81">
        <v>12000</v>
      </c>
      <c r="C54" s="81">
        <v>8000</v>
      </c>
      <c r="D54" s="81">
        <v>3000</v>
      </c>
      <c r="E54" s="81">
        <v>0</v>
      </c>
      <c r="F54" s="81">
        <v>-2000</v>
      </c>
      <c r="G54" s="82" t="s">
        <v>258</v>
      </c>
    </row>
    <row r="55" spans="1:7" ht="15">
      <c r="A55" s="80" t="s">
        <v>259</v>
      </c>
      <c r="B55" s="81">
        <v>-700</v>
      </c>
      <c r="C55" s="81">
        <v>-800</v>
      </c>
      <c r="D55" s="81">
        <v>-900</v>
      </c>
      <c r="E55" s="81">
        <v>-900</v>
      </c>
      <c r="F55" s="81">
        <v>-900</v>
      </c>
      <c r="G55" s="82" t="s">
        <v>260</v>
      </c>
    </row>
    <row r="56" spans="1:7" ht="15">
      <c r="A56" s="80" t="s">
        <v>261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2" t="s">
        <v>262</v>
      </c>
    </row>
    <row r="57" spans="1:7" ht="15">
      <c r="A57" s="80" t="s">
        <v>263</v>
      </c>
      <c r="B57" s="81">
        <v>0</v>
      </c>
      <c r="C57" s="81">
        <v>0</v>
      </c>
      <c r="D57" s="81">
        <v>0</v>
      </c>
      <c r="E57" s="81">
        <v>0</v>
      </c>
      <c r="F57" s="81">
        <v>0</v>
      </c>
      <c r="G57" s="82" t="s">
        <v>264</v>
      </c>
    </row>
    <row r="58" spans="1:7" ht="15">
      <c r="A58" s="80" t="s">
        <v>265</v>
      </c>
      <c r="B58" s="81">
        <v>300</v>
      </c>
      <c r="C58" s="81">
        <v>200</v>
      </c>
      <c r="D58" s="81">
        <v>150</v>
      </c>
      <c r="E58" s="81">
        <v>100</v>
      </c>
      <c r="F58" s="81">
        <v>100</v>
      </c>
      <c r="G58" s="82" t="s">
        <v>266</v>
      </c>
    </row>
    <row r="60" spans="1:7" ht="15">
      <c r="A60" s="46" t="s">
        <v>267</v>
      </c>
      <c r="B60" s="47"/>
      <c r="C60" s="47"/>
      <c r="D60" s="47"/>
      <c r="E60" s="47"/>
      <c r="F60" s="47"/>
      <c r="G60" s="47"/>
    </row>
    <row r="61" spans="1:7" ht="15">
      <c r="A61" s="7" t="s">
        <v>268</v>
      </c>
      <c r="B61" s="48">
        <v>900</v>
      </c>
      <c r="C61" s="48">
        <v>1100</v>
      </c>
      <c r="D61" s="48">
        <v>1300</v>
      </c>
      <c r="E61" s="48">
        <v>1450</v>
      </c>
      <c r="F61" s="48">
        <v>1550</v>
      </c>
      <c r="G61" s="49" t="s">
        <v>269</v>
      </c>
    </row>
    <row r="62" spans="1:7" ht="15">
      <c r="A62" s="7" t="s">
        <v>270</v>
      </c>
      <c r="B62" s="50">
        <v>14.2</v>
      </c>
      <c r="C62" s="50">
        <v>18.7</v>
      </c>
      <c r="D62" s="50">
        <v>17.600000000000001</v>
      </c>
      <c r="E62" s="50">
        <v>17.399999999999999</v>
      </c>
      <c r="F62" s="50">
        <v>17</v>
      </c>
      <c r="G62" s="49" t="s">
        <v>271</v>
      </c>
    </row>
    <row r="63" spans="1:7" ht="15">
      <c r="A63" s="7" t="s">
        <v>272</v>
      </c>
      <c r="B63" s="51">
        <v>0.98</v>
      </c>
      <c r="C63" s="51">
        <v>0.97</v>
      </c>
      <c r="D63" s="51">
        <v>0.96</v>
      </c>
      <c r="E63" s="51">
        <v>0.95</v>
      </c>
      <c r="F63" s="51">
        <v>0.95</v>
      </c>
      <c r="G63" s="49" t="s">
        <v>273</v>
      </c>
    </row>
    <row r="64" spans="1:7" ht="15">
      <c r="A64" s="7" t="s">
        <v>274</v>
      </c>
      <c r="B64" s="37">
        <f>B61*B62*B63</f>
        <v>12524.4</v>
      </c>
      <c r="C64" s="37">
        <f>C61*C62*C63</f>
        <v>19952.899999999998</v>
      </c>
      <c r="D64" s="37">
        <f>D61*D62*D63</f>
        <v>21964.800000000003</v>
      </c>
      <c r="E64" s="37">
        <f>E61*E62*E63</f>
        <v>23968.499999999996</v>
      </c>
      <c r="F64" s="37">
        <f>F61*F62*F63</f>
        <v>25032.5</v>
      </c>
      <c r="G64" s="49" t="s">
        <v>275</v>
      </c>
    </row>
    <row r="65" spans="1:7" ht="15">
      <c r="A65" s="7" t="s">
        <v>276</v>
      </c>
      <c r="B65" s="37">
        <f>B5</f>
        <v>12500</v>
      </c>
      <c r="C65" s="37">
        <f>C5</f>
        <v>20000</v>
      </c>
      <c r="D65" s="37">
        <f>D5</f>
        <v>22000</v>
      </c>
      <c r="E65" s="37">
        <f>E5</f>
        <v>24000</v>
      </c>
      <c r="F65" s="37">
        <f>F5</f>
        <v>25000</v>
      </c>
      <c r="G65" s="49"/>
    </row>
    <row r="66" spans="1:7" ht="15">
      <c r="A66" s="7" t="s">
        <v>277</v>
      </c>
      <c r="B66" s="37">
        <f>B65-B64</f>
        <v>-24.399999999999636</v>
      </c>
      <c r="C66" s="37">
        <f>C65-C64</f>
        <v>47.100000000002183</v>
      </c>
      <c r="D66" s="37">
        <f>D65-D64</f>
        <v>35.19999999999709</v>
      </c>
      <c r="E66" s="37">
        <f>E65-E64</f>
        <v>31.500000000003638</v>
      </c>
      <c r="F66" s="37">
        <f>F65-F64</f>
        <v>-32.5</v>
      </c>
      <c r="G66" s="49" t="s">
        <v>278</v>
      </c>
    </row>
    <row r="68" spans="1:7" ht="15">
      <c r="A68" s="46" t="s">
        <v>279</v>
      </c>
      <c r="B68" s="47"/>
      <c r="C68" s="47"/>
      <c r="D68" s="47"/>
      <c r="E68" s="47"/>
      <c r="F68" s="47"/>
      <c r="G68" s="47"/>
    </row>
    <row r="69" spans="1:7" ht="15">
      <c r="A69" s="46" t="s">
        <v>280</v>
      </c>
      <c r="B69" s="48">
        <v>60700</v>
      </c>
      <c r="C69" s="48"/>
      <c r="D69" s="48"/>
      <c r="E69" s="48"/>
      <c r="F69" s="48"/>
      <c r="G69" s="85" t="s">
        <v>281</v>
      </c>
    </row>
    <row r="70" spans="1:7" ht="15">
      <c r="A70" s="7" t="s">
        <v>282</v>
      </c>
      <c r="B70" s="48">
        <v>26100</v>
      </c>
      <c r="C70" s="48"/>
      <c r="D70" s="48"/>
      <c r="E70" s="48"/>
      <c r="F70" s="48"/>
      <c r="G70" s="49" t="s">
        <v>283</v>
      </c>
    </row>
    <row r="71" spans="1:7" ht="15">
      <c r="A71" s="7" t="s">
        <v>284</v>
      </c>
      <c r="B71" s="48">
        <v>23100</v>
      </c>
      <c r="C71" s="48"/>
      <c r="D71" s="48"/>
      <c r="E71" s="48"/>
      <c r="F71" s="48"/>
      <c r="G71" s="49" t="s">
        <v>285</v>
      </c>
    </row>
    <row r="72" spans="1:7" ht="15">
      <c r="A72" s="7" t="s">
        <v>286</v>
      </c>
      <c r="B72" s="48">
        <v>11500</v>
      </c>
      <c r="C72" s="48"/>
      <c r="D72" s="48"/>
      <c r="E72" s="48"/>
      <c r="F72" s="48"/>
      <c r="G72" s="49" t="s">
        <v>287</v>
      </c>
    </row>
    <row r="73" spans="1:7" ht="15">
      <c r="A73" s="7" t="s">
        <v>288</v>
      </c>
      <c r="B73" s="48">
        <v>13050</v>
      </c>
      <c r="C73" s="48">
        <v>13050</v>
      </c>
      <c r="D73" s="48">
        <v>11550</v>
      </c>
      <c r="E73" s="48">
        <v>11550</v>
      </c>
      <c r="F73" s="48">
        <v>3833</v>
      </c>
      <c r="G73" s="49" t="s">
        <v>289</v>
      </c>
    </row>
    <row r="75" spans="1:7" ht="15">
      <c r="A75" s="46" t="s">
        <v>290</v>
      </c>
      <c r="B75" s="47"/>
      <c r="C75" s="47"/>
      <c r="D75" s="47"/>
      <c r="E75" s="47"/>
      <c r="F75" s="47"/>
      <c r="G75" s="47"/>
    </row>
    <row r="76" spans="1:7" ht="15">
      <c r="A76" s="7" t="s">
        <v>291</v>
      </c>
      <c r="B76" s="48">
        <v>5000</v>
      </c>
      <c r="C76" s="48">
        <v>3500</v>
      </c>
      <c r="D76" s="48">
        <v>3000</v>
      </c>
      <c r="E76" s="48">
        <v>2500</v>
      </c>
      <c r="F76" s="48">
        <v>2000</v>
      </c>
      <c r="G76" s="49" t="s">
        <v>292</v>
      </c>
    </row>
    <row r="77" spans="1:7" ht="15">
      <c r="A77" s="7" t="s">
        <v>293</v>
      </c>
      <c r="B77" s="48">
        <v>3000</v>
      </c>
      <c r="C77" s="48">
        <v>6500</v>
      </c>
      <c r="D77" s="48">
        <v>7000</v>
      </c>
      <c r="E77" s="48">
        <v>7500</v>
      </c>
      <c r="F77" s="48">
        <v>7500</v>
      </c>
      <c r="G77" s="49" t="s">
        <v>294</v>
      </c>
    </row>
    <row r="78" spans="1:7" ht="15">
      <c r="A78" s="7" t="s">
        <v>295</v>
      </c>
      <c r="B78" s="48">
        <v>2000</v>
      </c>
      <c r="C78" s="48">
        <v>4000</v>
      </c>
      <c r="D78" s="48">
        <v>4500</v>
      </c>
      <c r="E78" s="48">
        <v>4500</v>
      </c>
      <c r="F78" s="48">
        <v>4500</v>
      </c>
      <c r="G78" s="49" t="s">
        <v>296</v>
      </c>
    </row>
    <row r="79" spans="1:7" ht="15">
      <c r="A79" s="7" t="s">
        <v>297</v>
      </c>
      <c r="B79" s="48">
        <v>1000</v>
      </c>
      <c r="C79" s="48">
        <v>3000</v>
      </c>
      <c r="D79" s="48">
        <v>4000</v>
      </c>
      <c r="E79" s="48">
        <v>5000</v>
      </c>
      <c r="F79" s="48">
        <v>5500</v>
      </c>
      <c r="G79" s="49" t="s">
        <v>298</v>
      </c>
    </row>
    <row r="80" spans="1:7" ht="15">
      <c r="A80" s="7" t="s">
        <v>299</v>
      </c>
      <c r="B80" s="48">
        <v>1500</v>
      </c>
      <c r="C80" s="48">
        <v>3000</v>
      </c>
      <c r="D80" s="48">
        <v>3500</v>
      </c>
      <c r="E80" s="48">
        <v>4500</v>
      </c>
      <c r="F80" s="48">
        <v>5500</v>
      </c>
      <c r="G80" s="49" t="s">
        <v>300</v>
      </c>
    </row>
    <row r="81" spans="1:7" ht="15">
      <c r="A81" s="7" t="s">
        <v>301</v>
      </c>
      <c r="B81" s="37">
        <f>SUM(B76:B80)</f>
        <v>12500</v>
      </c>
      <c r="C81" s="37">
        <f>SUM(C76:C80)</f>
        <v>20000</v>
      </c>
      <c r="D81" s="37">
        <f>SUM(D76:D80)</f>
        <v>22000</v>
      </c>
      <c r="E81" s="37">
        <f>SUM(E76:E80)</f>
        <v>24000</v>
      </c>
      <c r="F81" s="37">
        <f>SUM(F76:F80)</f>
        <v>25000</v>
      </c>
      <c r="G81" s="49" t="s">
        <v>302</v>
      </c>
    </row>
    <row r="82" spans="1:7" ht="15">
      <c r="A82" s="7" t="s">
        <v>303</v>
      </c>
      <c r="B82" s="37">
        <f>B65-B81</f>
        <v>0</v>
      </c>
      <c r="C82" s="37">
        <f>C65-C81</f>
        <v>0</v>
      </c>
      <c r="D82" s="37">
        <f>D65-D81</f>
        <v>0</v>
      </c>
      <c r="E82" s="37">
        <f>E65-E81</f>
        <v>0</v>
      </c>
      <c r="F82" s="37">
        <f>F65-F81</f>
        <v>0</v>
      </c>
      <c r="G82" s="49" t="s">
        <v>304</v>
      </c>
    </row>
  </sheetData>
  <mergeCells count="2">
    <mergeCell ref="A2:G2"/>
    <mergeCell ref="A1:G1"/>
  </mergeCells>
  <phoneticPr fontId="2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496"/>
  </sheetPr>
  <dimension ref="A1:J4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35" customWidth="1"/>
    <col min="2" max="9" width="14" customWidth="1"/>
    <col min="10" max="10" width="30" customWidth="1"/>
  </cols>
  <sheetData>
    <row r="1" spans="1:10" ht="19">
      <c r="A1" s="104" t="s">
        <v>305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0" ht="15">
      <c r="A2" s="102" t="s">
        <v>306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0" ht="15">
      <c r="A3" s="8"/>
      <c r="B3" s="8" t="s">
        <v>15</v>
      </c>
      <c r="C3" s="8" t="s">
        <v>16</v>
      </c>
      <c r="D3" s="8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9" t="s">
        <v>22</v>
      </c>
      <c r="J3" s="8" t="s">
        <v>79</v>
      </c>
    </row>
    <row r="4" spans="1:10" ht="15">
      <c r="A4" s="46" t="s">
        <v>185</v>
      </c>
      <c r="B4" s="2"/>
      <c r="C4" s="2"/>
      <c r="D4" s="2"/>
      <c r="E4" s="2"/>
      <c r="F4" s="2"/>
      <c r="G4" s="2"/>
      <c r="H4" s="2"/>
      <c r="I4" s="2"/>
      <c r="J4" s="2"/>
    </row>
    <row r="5" spans="1:10" ht="15">
      <c r="A5" s="68" t="s">
        <v>307</v>
      </c>
      <c r="B5" s="86">
        <f>Raw_Info!B5</f>
        <v>229</v>
      </c>
      <c r="C5" s="86">
        <f>Raw_Info!C5</f>
        <v>1915</v>
      </c>
      <c r="D5" s="86">
        <f>Raw_Info!D5</f>
        <v>5131</v>
      </c>
      <c r="E5" s="87">
        <f>Assumptions!B5</f>
        <v>12500</v>
      </c>
      <c r="F5" s="87">
        <f>Assumptions!C5</f>
        <v>20000</v>
      </c>
      <c r="G5" s="87">
        <f>Assumptions!D5</f>
        <v>22000</v>
      </c>
      <c r="H5" s="87">
        <f>Assumptions!E5</f>
        <v>24000</v>
      </c>
      <c r="I5" s="87">
        <f>Assumptions!F5</f>
        <v>25000</v>
      </c>
      <c r="J5" s="88" t="s">
        <v>308</v>
      </c>
    </row>
    <row r="6" spans="1:10" ht="15">
      <c r="A6" s="89" t="s">
        <v>309</v>
      </c>
      <c r="B6" s="90" t="str">
        <f>""</f>
        <v/>
      </c>
      <c r="C6" s="90">
        <f>IF(C4=0,0,(C5/B5-1))</f>
        <v>0</v>
      </c>
      <c r="D6" s="90">
        <f>IF(D4=0,0,(D5/C5-1))</f>
        <v>0</v>
      </c>
      <c r="E6" s="91">
        <f>E5/D5-1</f>
        <v>1.4361722861040733</v>
      </c>
      <c r="F6" s="91">
        <f>F5/E5-1</f>
        <v>0.60000000000000009</v>
      </c>
      <c r="G6" s="91">
        <f>G5/F5-1</f>
        <v>0.10000000000000009</v>
      </c>
      <c r="H6" s="91">
        <f>H5/G5-1</f>
        <v>9.0909090909090828E-2</v>
      </c>
      <c r="I6" s="91">
        <f>I5/H5-1</f>
        <v>4.1666666666666741E-2</v>
      </c>
      <c r="J6" s="85" t="s">
        <v>310</v>
      </c>
    </row>
    <row r="7" spans="1:10" ht="15">
      <c r="A7" s="92" t="s">
        <v>311</v>
      </c>
      <c r="B7" s="52">
        <f>B5-Raw_Info!B5</f>
        <v>0</v>
      </c>
      <c r="C7" s="52">
        <f>C5-Raw_Info!C5</f>
        <v>0</v>
      </c>
      <c r="D7" s="52">
        <f>D5-Raw_Info!D5</f>
        <v>0</v>
      </c>
      <c r="E7" s="53">
        <f>E5-Assumptions!B5</f>
        <v>0</v>
      </c>
      <c r="F7" s="53">
        <f>F5-Assumptions!C5</f>
        <v>0</v>
      </c>
      <c r="G7" s="53">
        <f>G5-Assumptions!D5</f>
        <v>0</v>
      </c>
      <c r="H7" s="53">
        <f>H5-Assumptions!E5</f>
        <v>0</v>
      </c>
      <c r="I7" s="53">
        <f>I5-Assumptions!F5</f>
        <v>0</v>
      </c>
      <c r="J7" s="93" t="s">
        <v>312</v>
      </c>
    </row>
    <row r="9" spans="1:10" ht="15">
      <c r="A9" s="46" t="s">
        <v>313</v>
      </c>
      <c r="B9" s="2"/>
      <c r="C9" s="2"/>
      <c r="D9" s="2"/>
      <c r="E9" s="2"/>
      <c r="F9" s="2"/>
      <c r="G9" s="2"/>
      <c r="H9" s="2"/>
      <c r="I9" s="2"/>
      <c r="J9" s="2"/>
    </row>
    <row r="10" spans="1:10" ht="15">
      <c r="A10" s="7" t="s">
        <v>314</v>
      </c>
      <c r="B10" s="94">
        <f>Raw_Info!B6</f>
        <v>69</v>
      </c>
      <c r="C10" s="94">
        <f>Raw_Info!C6</f>
        <v>493</v>
      </c>
      <c r="D10" s="94">
        <f>Raw_Info!D6</f>
        <v>1453</v>
      </c>
      <c r="E10" s="95">
        <f>E5*(1-Assumptions!B9)</f>
        <v>3750.0000000000005</v>
      </c>
      <c r="F10" s="95">
        <f>F5*(1-Assumptions!C9)</f>
        <v>6000.0000000000009</v>
      </c>
      <c r="G10" s="95">
        <f>G5*(1-Assumptions!D9)</f>
        <v>7039.9999999999991</v>
      </c>
      <c r="H10" s="95">
        <f>H5*(1-Assumptions!E9)</f>
        <v>7919.9999999999991</v>
      </c>
      <c r="I10" s="95">
        <f>I5*(1-Assumptions!F9)</f>
        <v>8500</v>
      </c>
      <c r="J10" s="49" t="s">
        <v>315</v>
      </c>
    </row>
    <row r="11" spans="1:10" ht="15">
      <c r="A11" s="68" t="s">
        <v>316</v>
      </c>
      <c r="B11" s="86">
        <f t="shared" ref="B11:I11" si="0">B5-B10</f>
        <v>160</v>
      </c>
      <c r="C11" s="86">
        <f t="shared" si="0"/>
        <v>1422</v>
      </c>
      <c r="D11" s="86">
        <f t="shared" si="0"/>
        <v>3678</v>
      </c>
      <c r="E11" s="87">
        <f t="shared" si="0"/>
        <v>8750</v>
      </c>
      <c r="F11" s="87">
        <f t="shared" si="0"/>
        <v>14000</v>
      </c>
      <c r="G11" s="87">
        <f t="shared" si="0"/>
        <v>14960</v>
      </c>
      <c r="H11" s="87">
        <f t="shared" si="0"/>
        <v>16080</v>
      </c>
      <c r="I11" s="87">
        <f t="shared" si="0"/>
        <v>16500</v>
      </c>
      <c r="J11" s="88" t="e">
        <f>Revenue - COGS</f>
        <v>#NAME?</v>
      </c>
    </row>
    <row r="12" spans="1:10" ht="15">
      <c r="A12" s="89" t="s">
        <v>317</v>
      </c>
      <c r="B12" s="90">
        <f>IF(B5=0,0,B11/B5)</f>
        <v>0.69868995633187769</v>
      </c>
      <c r="C12" s="90">
        <f>IF(C5=0,0,C11/C5)</f>
        <v>0.74255874673629241</v>
      </c>
      <c r="D12" s="90">
        <f>IF(D5=0,0,D11/D5)</f>
        <v>0.71681933346326254</v>
      </c>
      <c r="E12" s="91">
        <f>E11/E5</f>
        <v>0.7</v>
      </c>
      <c r="F12" s="91">
        <f>F11/F5</f>
        <v>0.7</v>
      </c>
      <c r="G12" s="91">
        <f>G11/G5</f>
        <v>0.68</v>
      </c>
      <c r="H12" s="91">
        <f>H11/H5</f>
        <v>0.67</v>
      </c>
      <c r="I12" s="91">
        <f>I11/I5</f>
        <v>0.66</v>
      </c>
      <c r="J12" s="85" t="s">
        <v>318</v>
      </c>
    </row>
    <row r="14" spans="1:10" ht="15">
      <c r="A14" s="46" t="s">
        <v>192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15">
      <c r="A15" s="7" t="s">
        <v>319</v>
      </c>
      <c r="B15" s="94">
        <f>Raw_Info!B8</f>
        <v>132</v>
      </c>
      <c r="C15" s="94">
        <f>Raw_Info!C8</f>
        <v>961</v>
      </c>
      <c r="D15" s="94">
        <f>Raw_Info!D8</f>
        <v>2929</v>
      </c>
      <c r="E15" s="95">
        <f>E5*Assumptions!B13</f>
        <v>5625</v>
      </c>
      <c r="F15" s="95">
        <f>F5*Assumptions!C13</f>
        <v>7600</v>
      </c>
      <c r="G15" s="95">
        <f>G5*Assumptions!D13</f>
        <v>7480.0000000000009</v>
      </c>
      <c r="H15" s="95">
        <f>H5*Assumptions!E13</f>
        <v>7680</v>
      </c>
      <c r="I15" s="95">
        <f>I5*Assumptions!F13</f>
        <v>7750</v>
      </c>
      <c r="J15" s="49" t="s">
        <v>320</v>
      </c>
    </row>
    <row r="16" spans="1:10" ht="15">
      <c r="A16" s="7" t="s">
        <v>321</v>
      </c>
      <c r="B16" s="94">
        <f>Raw_Info!B9</f>
        <v>13</v>
      </c>
      <c r="C16" s="94">
        <f>Raw_Info!C9</f>
        <v>18</v>
      </c>
      <c r="D16" s="94">
        <f>Raw_Info!D9</f>
        <v>144</v>
      </c>
      <c r="E16" s="95">
        <f>E5*Assumptions!B14</f>
        <v>312.5</v>
      </c>
      <c r="F16" s="95">
        <f>F5*Assumptions!C14</f>
        <v>500</v>
      </c>
      <c r="G16" s="95">
        <f>G5*Assumptions!D14</f>
        <v>550</v>
      </c>
      <c r="H16" s="95">
        <f>H5*Assumptions!E14</f>
        <v>600</v>
      </c>
      <c r="I16" s="95">
        <f>I5*Assumptions!F14</f>
        <v>625</v>
      </c>
      <c r="J16" s="49" t="s">
        <v>322</v>
      </c>
    </row>
    <row r="17" spans="1:10" ht="15">
      <c r="A17" s="7" t="s">
        <v>323</v>
      </c>
      <c r="B17" s="94">
        <f>Raw_Info!B10</f>
        <v>30</v>
      </c>
      <c r="C17" s="94">
        <f>Raw_Info!C10</f>
        <v>119</v>
      </c>
      <c r="D17" s="94">
        <f>Raw_Info!D10</f>
        <v>651</v>
      </c>
      <c r="E17" s="95">
        <f>E5*Assumptions!B15</f>
        <v>687.5</v>
      </c>
      <c r="F17" s="95">
        <f>F5*Assumptions!C15</f>
        <v>900</v>
      </c>
      <c r="G17" s="95">
        <f>G5*Assumptions!D15</f>
        <v>880</v>
      </c>
      <c r="H17" s="95">
        <f>H5*Assumptions!E15</f>
        <v>840.00000000000011</v>
      </c>
      <c r="I17" s="95">
        <f>I5*Assumptions!F15</f>
        <v>875.00000000000011</v>
      </c>
      <c r="J17" s="49" t="s">
        <v>324</v>
      </c>
    </row>
    <row r="18" spans="1:10" ht="15">
      <c r="A18" s="68" t="s">
        <v>325</v>
      </c>
      <c r="B18" s="86">
        <f t="shared" ref="B18:I18" si="1">B15+B16+B17</f>
        <v>175</v>
      </c>
      <c r="C18" s="86">
        <f t="shared" si="1"/>
        <v>1098</v>
      </c>
      <c r="D18" s="86">
        <f t="shared" si="1"/>
        <v>3724</v>
      </c>
      <c r="E18" s="87">
        <f t="shared" si="1"/>
        <v>6625</v>
      </c>
      <c r="F18" s="87">
        <f t="shared" si="1"/>
        <v>9000</v>
      </c>
      <c r="G18" s="87">
        <f t="shared" si="1"/>
        <v>8910</v>
      </c>
      <c r="H18" s="87">
        <f t="shared" si="1"/>
        <v>9120</v>
      </c>
      <c r="I18" s="87">
        <f t="shared" si="1"/>
        <v>9250</v>
      </c>
      <c r="J18" s="88" t="e">
        <f>Tech&amp;Infra + S&amp;M + G&amp;A</f>
        <v>#NAME?</v>
      </c>
    </row>
    <row r="19" spans="1:10" ht="15">
      <c r="A19" s="89" t="s">
        <v>326</v>
      </c>
      <c r="B19" s="90">
        <f>IF(B5=0,0,B18/B5)</f>
        <v>0.76419213973799127</v>
      </c>
      <c r="C19" s="90">
        <f>IF(C5=0,0,C18/C5)</f>
        <v>0.57336814621409926</v>
      </c>
      <c r="D19" s="90">
        <f>IF(D5=0,0,D18/D5)</f>
        <v>0.72578444747612547</v>
      </c>
      <c r="E19" s="91">
        <f>E18/E5</f>
        <v>0.53</v>
      </c>
      <c r="F19" s="91">
        <f>F18/F5</f>
        <v>0.45</v>
      </c>
      <c r="G19" s="91">
        <f>G18/G5</f>
        <v>0.40500000000000003</v>
      </c>
      <c r="H19" s="91">
        <f>H18/H5</f>
        <v>0.38</v>
      </c>
      <c r="I19" s="91">
        <f>I18/I5</f>
        <v>0.37</v>
      </c>
      <c r="J19" s="85" t="s">
        <v>327</v>
      </c>
    </row>
    <row r="21" spans="1:10" ht="15">
      <c r="A21" s="46" t="s">
        <v>328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ht="15">
      <c r="A22" s="68" t="s">
        <v>329</v>
      </c>
      <c r="B22" s="86">
        <f t="shared" ref="B22:I22" si="2">B11-B18</f>
        <v>-15</v>
      </c>
      <c r="C22" s="86">
        <f t="shared" si="2"/>
        <v>324</v>
      </c>
      <c r="D22" s="86">
        <f t="shared" si="2"/>
        <v>-46</v>
      </c>
      <c r="E22" s="87">
        <f t="shared" si="2"/>
        <v>2125</v>
      </c>
      <c r="F22" s="87">
        <f t="shared" si="2"/>
        <v>5000</v>
      </c>
      <c r="G22" s="87">
        <f t="shared" si="2"/>
        <v>6050</v>
      </c>
      <c r="H22" s="87">
        <f t="shared" si="2"/>
        <v>6960</v>
      </c>
      <c r="I22" s="87">
        <f t="shared" si="2"/>
        <v>7250</v>
      </c>
      <c r="J22" s="88" t="e">
        <f>GP - Total OpEx</f>
        <v>#NAME?</v>
      </c>
    </row>
    <row r="23" spans="1:10" ht="15">
      <c r="A23" s="89" t="s">
        <v>330</v>
      </c>
      <c r="B23" s="90">
        <f>IF(B5=0,0,B22/B5)</f>
        <v>-6.5502183406113537E-2</v>
      </c>
      <c r="C23" s="90">
        <f>IF(C5=0,0,C22/C5)</f>
        <v>0.1691906005221932</v>
      </c>
      <c r="D23" s="90">
        <f>IF(D5=0,0,D22/D5)</f>
        <v>-8.9651140128629899E-3</v>
      </c>
      <c r="E23" s="91">
        <f>E22/E5</f>
        <v>0.17</v>
      </c>
      <c r="F23" s="91">
        <f>F22/F5</f>
        <v>0.25</v>
      </c>
      <c r="G23" s="91">
        <f>G22/G5</f>
        <v>0.27500000000000002</v>
      </c>
      <c r="H23" s="91">
        <f>H22/H5</f>
        <v>0.28999999999999998</v>
      </c>
      <c r="I23" s="91">
        <f>I22/I5</f>
        <v>0.28999999999999998</v>
      </c>
      <c r="J23" s="85" t="s">
        <v>331</v>
      </c>
    </row>
    <row r="25" spans="1:10" ht="15">
      <c r="A25" s="46" t="s">
        <v>332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ht="15">
      <c r="A26" s="7" t="s">
        <v>333</v>
      </c>
      <c r="B26" s="94">
        <f>Raw_Info!B13</f>
        <v>-534</v>
      </c>
      <c r="C26" s="94">
        <f>Raw_Info!C13</f>
        <v>-756</v>
      </c>
      <c r="D26" s="94">
        <f>Raw_Info!D13</f>
        <v>27</v>
      </c>
      <c r="E26" s="95">
        <f>Assumptions!B21</f>
        <v>0</v>
      </c>
      <c r="F26" s="95">
        <f>Assumptions!C21</f>
        <v>0</v>
      </c>
      <c r="G26" s="95">
        <f>Assumptions!D21</f>
        <v>0</v>
      </c>
      <c r="H26" s="95">
        <f>Assumptions!E21</f>
        <v>0</v>
      </c>
      <c r="I26" s="95">
        <f>Assumptions!F21</f>
        <v>0</v>
      </c>
      <c r="J26" s="49" t="s">
        <v>334</v>
      </c>
    </row>
    <row r="27" spans="1:10" ht="15">
      <c r="A27" s="7" t="s">
        <v>335</v>
      </c>
      <c r="B27" s="94">
        <f>Raw_Info!B14</f>
        <v>-28</v>
      </c>
      <c r="C27" s="94">
        <f>Raw_Info!C14</f>
        <v>-361</v>
      </c>
      <c r="D27" s="94">
        <f>Raw_Info!D14</f>
        <v>-1229</v>
      </c>
      <c r="E27" s="95">
        <f>-Assumptions!B20</f>
        <v>-2400</v>
      </c>
      <c r="F27" s="95">
        <f>-Assumptions!C20</f>
        <v>-2800</v>
      </c>
      <c r="G27" s="95">
        <f>-Assumptions!D20</f>
        <v>-2500</v>
      </c>
      <c r="H27" s="95">
        <f>-Assumptions!E20</f>
        <v>-2200</v>
      </c>
      <c r="I27" s="95">
        <f>-Assumptions!F20</f>
        <v>-2000</v>
      </c>
      <c r="J27" s="49" t="s">
        <v>336</v>
      </c>
    </row>
    <row r="28" spans="1:10" ht="15">
      <c r="A28" s="7" t="s">
        <v>337</v>
      </c>
      <c r="B28" s="94">
        <f>Raw_Info!B15</f>
        <v>19</v>
      </c>
      <c r="C28" s="94">
        <f>Raw_Info!C15</f>
        <v>49</v>
      </c>
      <c r="D28" s="94">
        <f>Raw_Info!D15</f>
        <v>33</v>
      </c>
      <c r="E28" s="95">
        <f>Assumptions!B22</f>
        <v>30</v>
      </c>
      <c r="F28" s="95">
        <f>Assumptions!C22</f>
        <v>30</v>
      </c>
      <c r="G28" s="95">
        <f>Assumptions!D22</f>
        <v>30</v>
      </c>
      <c r="H28" s="95">
        <f>Assumptions!E22</f>
        <v>30</v>
      </c>
      <c r="I28" s="95">
        <f>Assumptions!F22</f>
        <v>30</v>
      </c>
      <c r="J28" s="49" t="s">
        <v>209</v>
      </c>
    </row>
    <row r="29" spans="1:10" ht="15">
      <c r="A29" s="68" t="s">
        <v>338</v>
      </c>
      <c r="B29" s="86">
        <f t="shared" ref="B29:I29" si="3">B22+B26+B27+B28</f>
        <v>-558</v>
      </c>
      <c r="C29" s="86">
        <f t="shared" si="3"/>
        <v>-744</v>
      </c>
      <c r="D29" s="86">
        <f t="shared" si="3"/>
        <v>-1215</v>
      </c>
      <c r="E29" s="87">
        <f t="shared" si="3"/>
        <v>-245</v>
      </c>
      <c r="F29" s="87">
        <f t="shared" si="3"/>
        <v>2230</v>
      </c>
      <c r="G29" s="87">
        <f t="shared" si="3"/>
        <v>3580</v>
      </c>
      <c r="H29" s="87">
        <f t="shared" si="3"/>
        <v>4790</v>
      </c>
      <c r="I29" s="87">
        <f t="shared" si="3"/>
        <v>5280</v>
      </c>
      <c r="J29" s="88" t="e">
        <f>EBIT + FV Adj + Interest + Other</f>
        <v>#NAME?</v>
      </c>
    </row>
    <row r="30" spans="1:10" ht="15">
      <c r="A30" s="7" t="s">
        <v>339</v>
      </c>
      <c r="B30" s="94">
        <f>Raw_Info!B17</f>
        <v>36</v>
      </c>
      <c r="C30" s="94">
        <f>Raw_Info!C17</f>
        <v>119</v>
      </c>
      <c r="D30" s="94">
        <f>Raw_Info!D17</f>
        <v>-48</v>
      </c>
      <c r="E30" s="95">
        <f>E29*Assumptions!B23</f>
        <v>9.8000000000000007</v>
      </c>
      <c r="F30" s="95">
        <f>F29*Assumptions!C23</f>
        <v>111.5</v>
      </c>
      <c r="G30" s="95">
        <f>G29*Assumptions!D23</f>
        <v>358</v>
      </c>
      <c r="H30" s="95">
        <f>H29*Assumptions!E23</f>
        <v>718.5</v>
      </c>
      <c r="I30" s="95">
        <f>I29*Assumptions!F23</f>
        <v>950.4</v>
      </c>
      <c r="J30" s="49" t="s">
        <v>340</v>
      </c>
    </row>
    <row r="31" spans="1:10" ht="15">
      <c r="A31" s="89" t="s">
        <v>341</v>
      </c>
      <c r="B31" s="90">
        <f>IF(B29=0,0,B30/B29)</f>
        <v>-6.4516129032258063E-2</v>
      </c>
      <c r="C31" s="90">
        <f>IF(C29=0,0,C30/C29)</f>
        <v>-0.15994623655913978</v>
      </c>
      <c r="D31" s="90">
        <f>IF(D29=0,0,D30/D29)</f>
        <v>3.9506172839506172E-2</v>
      </c>
      <c r="E31" s="91">
        <f>Assumptions!B23</f>
        <v>-0.04</v>
      </c>
      <c r="F31" s="91">
        <f>Assumptions!C23</f>
        <v>0.05</v>
      </c>
      <c r="G31" s="91">
        <f>Assumptions!D23</f>
        <v>0.1</v>
      </c>
      <c r="H31" s="91">
        <f>Assumptions!E23</f>
        <v>0.15</v>
      </c>
      <c r="I31" s="91">
        <f>Assumptions!F23</f>
        <v>0.18</v>
      </c>
      <c r="J31" s="85" t="s">
        <v>342</v>
      </c>
    </row>
    <row r="33" spans="1:10" ht="15">
      <c r="A33" s="46" t="s">
        <v>343</v>
      </c>
      <c r="B33" s="2"/>
      <c r="C33" s="2"/>
      <c r="D33" s="2"/>
      <c r="E33" s="2"/>
      <c r="F33" s="2"/>
      <c r="G33" s="2"/>
      <c r="H33" s="2"/>
      <c r="I33" s="2"/>
      <c r="J33" s="2"/>
    </row>
    <row r="34" spans="1:10" ht="15">
      <c r="A34" s="68" t="s">
        <v>344</v>
      </c>
      <c r="B34" s="86">
        <f t="shared" ref="B34:I34" si="4">B29-B30</f>
        <v>-594</v>
      </c>
      <c r="C34" s="86">
        <f t="shared" si="4"/>
        <v>-863</v>
      </c>
      <c r="D34" s="86">
        <f t="shared" si="4"/>
        <v>-1167</v>
      </c>
      <c r="E34" s="87">
        <f t="shared" si="4"/>
        <v>-254.8</v>
      </c>
      <c r="F34" s="87">
        <f t="shared" si="4"/>
        <v>2118.5</v>
      </c>
      <c r="G34" s="87">
        <f t="shared" si="4"/>
        <v>3222</v>
      </c>
      <c r="H34" s="87">
        <f t="shared" si="4"/>
        <v>4071.5</v>
      </c>
      <c r="I34" s="87">
        <f t="shared" si="4"/>
        <v>4329.6000000000004</v>
      </c>
      <c r="J34" s="88" t="e">
        <f>PBT - Tax</f>
        <v>#NAME?</v>
      </c>
    </row>
    <row r="35" spans="1:10" ht="15">
      <c r="A35" s="89" t="s">
        <v>345</v>
      </c>
      <c r="B35" s="90">
        <f>IF(B5=0,0,B34/B5)</f>
        <v>-2.5938864628820961</v>
      </c>
      <c r="C35" s="90">
        <f>IF(C5=0,0,C34/C5)</f>
        <v>-0.4506527415143603</v>
      </c>
      <c r="D35" s="90">
        <f>IF(D5=0,0,D34/D5)</f>
        <v>-0.22744104463067627</v>
      </c>
      <c r="E35" s="91">
        <f>E34/E5</f>
        <v>-2.0383999999999999E-2</v>
      </c>
      <c r="F35" s="91">
        <f>F34/F5</f>
        <v>0.10592500000000001</v>
      </c>
      <c r="G35" s="91">
        <f>G34/G5</f>
        <v>0.14645454545454545</v>
      </c>
      <c r="H35" s="91">
        <f>H34/H5</f>
        <v>0.16964583333333333</v>
      </c>
      <c r="I35" s="91">
        <f>I34/I5</f>
        <v>0.173184</v>
      </c>
      <c r="J35" s="85" t="s">
        <v>346</v>
      </c>
    </row>
    <row r="36" spans="1:10" ht="15">
      <c r="A36" s="92" t="s">
        <v>347</v>
      </c>
      <c r="B36" s="52">
        <f>B34-Raw_Info!B18</f>
        <v>0</v>
      </c>
      <c r="C36" s="52">
        <f>C34-Raw_Info!C18</f>
        <v>0</v>
      </c>
      <c r="D36" s="52">
        <f>D34-Raw_Info!D18</f>
        <v>0</v>
      </c>
      <c r="E36" s="53">
        <f>E34-(E29-E30)</f>
        <v>0</v>
      </c>
      <c r="F36" s="53">
        <f>F34-(F29-F30)</f>
        <v>0</v>
      </c>
      <c r="G36" s="53">
        <f>G34-(G29-G30)</f>
        <v>0</v>
      </c>
      <c r="H36" s="53">
        <f>H34-(H29-H30)</f>
        <v>0</v>
      </c>
      <c r="I36" s="53">
        <f>I34-(I29-I30)</f>
        <v>0</v>
      </c>
      <c r="J36" s="93" t="s">
        <v>312</v>
      </c>
    </row>
    <row r="37" spans="1:10" ht="15">
      <c r="A37" s="68" t="s">
        <v>348</v>
      </c>
      <c r="B37" s="86">
        <f t="shared" ref="B37:I37" si="5">B34</f>
        <v>-594</v>
      </c>
      <c r="C37" s="86">
        <f t="shared" si="5"/>
        <v>-863</v>
      </c>
      <c r="D37" s="86">
        <f t="shared" si="5"/>
        <v>-1167</v>
      </c>
      <c r="E37" s="87">
        <f t="shared" si="5"/>
        <v>-254.8</v>
      </c>
      <c r="F37" s="87">
        <f t="shared" si="5"/>
        <v>2118.5</v>
      </c>
      <c r="G37" s="87">
        <f t="shared" si="5"/>
        <v>3222</v>
      </c>
      <c r="H37" s="87">
        <f t="shared" si="5"/>
        <v>4071.5</v>
      </c>
      <c r="I37" s="87">
        <f t="shared" si="5"/>
        <v>4329.6000000000004</v>
      </c>
      <c r="J37" s="88"/>
    </row>
    <row r="38" spans="1:10" ht="15">
      <c r="A38" s="7" t="s">
        <v>349</v>
      </c>
      <c r="B38" s="94">
        <f>0</f>
        <v>0</v>
      </c>
      <c r="C38" s="94">
        <f>0</f>
        <v>0</v>
      </c>
      <c r="D38" s="94">
        <f>0</f>
        <v>0</v>
      </c>
      <c r="E38" s="95">
        <f>0</f>
        <v>0</v>
      </c>
      <c r="F38" s="95">
        <f>0</f>
        <v>0</v>
      </c>
      <c r="G38" s="95">
        <f>0</f>
        <v>0</v>
      </c>
      <c r="H38" s="95">
        <f>0</f>
        <v>0</v>
      </c>
      <c r="I38" s="95">
        <f>0</f>
        <v>0</v>
      </c>
      <c r="J38" s="49" t="s">
        <v>350</v>
      </c>
    </row>
    <row r="40" spans="1:10" ht="15">
      <c r="A40" s="46" t="s">
        <v>351</v>
      </c>
      <c r="B40" s="2"/>
      <c r="C40" s="2"/>
      <c r="D40" s="2"/>
      <c r="E40" s="2"/>
      <c r="F40" s="2"/>
      <c r="G40" s="2"/>
      <c r="H40" s="2"/>
      <c r="I40" s="2"/>
      <c r="J40" s="2"/>
    </row>
    <row r="41" spans="1:10" ht="15">
      <c r="A41" s="7" t="s">
        <v>352</v>
      </c>
      <c r="B41" s="94">
        <f>Raw_Info!B19</f>
        <v>103</v>
      </c>
      <c r="C41" s="94">
        <f>Raw_Info!C19</f>
        <v>863</v>
      </c>
      <c r="D41" s="94">
        <f>Raw_Info!D19</f>
        <v>2454</v>
      </c>
      <c r="E41" s="95">
        <f>Assumptions!B18</f>
        <v>4500</v>
      </c>
      <c r="F41" s="95">
        <f>Assumptions!C18</f>
        <v>5800</v>
      </c>
      <c r="G41" s="95">
        <f>Assumptions!D18</f>
        <v>6500</v>
      </c>
      <c r="H41" s="95">
        <f>Assumptions!E18</f>
        <v>6800</v>
      </c>
      <c r="I41" s="95">
        <f>Assumptions!F18</f>
        <v>7000</v>
      </c>
      <c r="J41" s="49" t="s">
        <v>353</v>
      </c>
    </row>
    <row r="42" spans="1:10" ht="15">
      <c r="A42" s="7" t="s">
        <v>354</v>
      </c>
      <c r="B42" s="94">
        <f>Raw_Info!B20</f>
        <v>15</v>
      </c>
      <c r="C42" s="94">
        <f>Raw_Info!C20</f>
        <v>31</v>
      </c>
      <c r="D42" s="94">
        <f>Raw_Info!D20</f>
        <v>630</v>
      </c>
      <c r="E42" s="95">
        <f>Assumptions!B19</f>
        <v>800</v>
      </c>
      <c r="F42" s="95">
        <f>Assumptions!C19</f>
        <v>900</v>
      </c>
      <c r="G42" s="95">
        <f>Assumptions!D19</f>
        <v>1000</v>
      </c>
      <c r="H42" s="95">
        <f>Assumptions!E19</f>
        <v>1050</v>
      </c>
      <c r="I42" s="95">
        <f>Assumptions!F19</f>
        <v>1100</v>
      </c>
      <c r="J42" s="49" t="s">
        <v>355</v>
      </c>
    </row>
    <row r="43" spans="1:10" ht="15">
      <c r="A43" s="68" t="s">
        <v>356</v>
      </c>
      <c r="B43" s="86">
        <f t="shared" ref="B43:I43" si="6">B22+B41+B42</f>
        <v>103</v>
      </c>
      <c r="C43" s="86">
        <f t="shared" si="6"/>
        <v>1218</v>
      </c>
      <c r="D43" s="86">
        <f t="shared" si="6"/>
        <v>3038</v>
      </c>
      <c r="E43" s="87">
        <f t="shared" si="6"/>
        <v>7425</v>
      </c>
      <c r="F43" s="87">
        <f t="shared" si="6"/>
        <v>11700</v>
      </c>
      <c r="G43" s="87">
        <f t="shared" si="6"/>
        <v>13550</v>
      </c>
      <c r="H43" s="87">
        <f t="shared" si="6"/>
        <v>14810</v>
      </c>
      <c r="I43" s="87">
        <f t="shared" si="6"/>
        <v>15350</v>
      </c>
      <c r="J43" s="88" t="e">
        <f>EBIT + D&amp;A + SBC</f>
        <v>#NAME?</v>
      </c>
    </row>
    <row r="44" spans="1:10" ht="15">
      <c r="A44" s="89" t="s">
        <v>357</v>
      </c>
      <c r="B44" s="90">
        <f>IF(B5=0,0,B43/B5)</f>
        <v>0.44978165938864628</v>
      </c>
      <c r="C44" s="90">
        <f>IF(C5=0,0,C43/C5)</f>
        <v>0.63603133159268932</v>
      </c>
      <c r="D44" s="90">
        <f>IF(D5=0,0,D43/D5)</f>
        <v>0.592087312414734</v>
      </c>
      <c r="E44" s="91">
        <f>E43/E5</f>
        <v>0.59399999999999997</v>
      </c>
      <c r="F44" s="91">
        <f>F43/F5</f>
        <v>0.58499999999999996</v>
      </c>
      <c r="G44" s="91">
        <f>G43/G5</f>
        <v>0.61590909090909096</v>
      </c>
      <c r="H44" s="91">
        <f>H43/H5</f>
        <v>0.61708333333333332</v>
      </c>
      <c r="I44" s="91">
        <f>I43/I5</f>
        <v>0.61399999999999999</v>
      </c>
      <c r="J44" s="85" t="s">
        <v>358</v>
      </c>
    </row>
    <row r="45" spans="1:10" ht="15">
      <c r="A45" s="7" t="s">
        <v>33</v>
      </c>
      <c r="B45" s="94">
        <f>IF(Raw_Info!D110=0,0,B34/Raw_Info!D110)</f>
        <v>-1.1299220087502377</v>
      </c>
      <c r="C45" s="94">
        <f>IF(Raw_Info!D110=0,0,C34/Raw_Info!D110)</f>
        <v>-1.641620696214571</v>
      </c>
      <c r="D45" s="94">
        <f>IF(Raw_Info!D110=0,0,D34/Raw_Info!D110)</f>
        <v>-2.2198972798173862</v>
      </c>
      <c r="E45" s="95">
        <f>E34/Assumptions!B50</f>
        <v>-0.46752293577981652</v>
      </c>
      <c r="F45" s="95">
        <f>F34/Assumptions!C50</f>
        <v>3.7166666666666668</v>
      </c>
      <c r="G45" s="95">
        <f>G34/Assumptions!D50</f>
        <v>5.37</v>
      </c>
      <c r="H45" s="95">
        <f>H34/Assumptions!E50</f>
        <v>6.5669354838709681</v>
      </c>
      <c r="I45" s="95">
        <f>I34/Assumptions!F50</f>
        <v>6.8182677165354333</v>
      </c>
      <c r="J45" s="49" t="s">
        <v>359</v>
      </c>
    </row>
  </sheetData>
  <mergeCells count="2">
    <mergeCell ref="A1:J1"/>
    <mergeCell ref="A2:J2"/>
  </mergeCells>
  <phoneticPr fontId="2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5496"/>
  </sheetPr>
  <dimension ref="A1:I47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35" customWidth="1"/>
    <col min="2" max="8" width="14" customWidth="1"/>
    <col min="9" max="9" width="30" customWidth="1"/>
  </cols>
  <sheetData>
    <row r="1" spans="1:9" ht="19">
      <c r="A1" s="104" t="s">
        <v>360</v>
      </c>
      <c r="B1" s="103"/>
      <c r="C1" s="103"/>
      <c r="D1" s="103"/>
      <c r="E1" s="103"/>
      <c r="F1" s="103"/>
      <c r="G1" s="103"/>
      <c r="H1" s="103"/>
      <c r="I1" s="103"/>
    </row>
    <row r="2" spans="1:9" ht="15">
      <c r="A2" s="102" t="s">
        <v>306</v>
      </c>
      <c r="B2" s="103"/>
      <c r="C2" s="103"/>
      <c r="D2" s="103"/>
      <c r="E2" s="103"/>
      <c r="F2" s="103"/>
      <c r="G2" s="103"/>
      <c r="H2" s="103"/>
      <c r="I2" s="103"/>
    </row>
    <row r="3" spans="1:9" ht="15">
      <c r="A3" s="8"/>
      <c r="B3" s="8" t="s">
        <v>16</v>
      </c>
      <c r="C3" s="8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8" t="s">
        <v>79</v>
      </c>
    </row>
    <row r="4" spans="1:9" ht="15">
      <c r="A4" s="46" t="s">
        <v>361</v>
      </c>
      <c r="B4" s="2"/>
      <c r="C4" s="2"/>
      <c r="D4" s="2"/>
      <c r="E4" s="2"/>
      <c r="F4" s="2"/>
      <c r="G4" s="2"/>
      <c r="H4" s="2"/>
      <c r="I4" s="2"/>
    </row>
    <row r="5" spans="1:9" ht="15">
      <c r="A5" s="7" t="s">
        <v>362</v>
      </c>
      <c r="B5" s="94">
        <f>Raw_Info!C31</f>
        <v>1398</v>
      </c>
      <c r="C5" s="94">
        <f>Raw_Info!D31</f>
        <v>3980</v>
      </c>
      <c r="D5" s="95">
        <f>CF!E33</f>
        <v>7760.9578082191729</v>
      </c>
      <c r="E5" s="95">
        <f>CF!F33</f>
        <v>4907.5073753424731</v>
      </c>
      <c r="F5" s="95">
        <f>CF!G33</f>
        <v>3363.1946167671231</v>
      </c>
      <c r="G5" s="95">
        <f>CF!H33</f>
        <v>4792.8759037041018</v>
      </c>
      <c r="H5" s="95">
        <f>CF!I33</f>
        <v>6042.3341071895829</v>
      </c>
      <c r="I5" s="1"/>
    </row>
    <row r="6" spans="1:9" ht="15">
      <c r="A6" s="7" t="s">
        <v>363</v>
      </c>
      <c r="B6" s="94">
        <f>Raw_Info!C32</f>
        <v>417</v>
      </c>
      <c r="C6" s="94">
        <f>Raw_Info!D32</f>
        <v>3169</v>
      </c>
      <c r="D6" s="95">
        <f>IS!E5*Assumptions!B26/365</f>
        <v>2910.9589041095892</v>
      </c>
      <c r="E6" s="95">
        <f>IS!F5*Assumptions!C26/365</f>
        <v>4109.58904109589</v>
      </c>
      <c r="F6" s="95">
        <f>IS!G5*Assumptions!D26/365</f>
        <v>4219.178082191781</v>
      </c>
      <c r="G6" s="95">
        <f>IS!H5*Assumptions!E26/365</f>
        <v>4273.9726027397264</v>
      </c>
      <c r="H6" s="95">
        <f>IS!I5*Assumptions!F26/365</f>
        <v>4452.0547945205481</v>
      </c>
      <c r="I6" s="49" t="e">
        <f>Revenue * AR Days / 365</f>
        <v>#NAME?</v>
      </c>
    </row>
    <row r="7" spans="1:9" ht="15">
      <c r="A7" s="7" t="s">
        <v>364</v>
      </c>
      <c r="B7" s="94">
        <f>Raw_Info!C33</f>
        <v>101</v>
      </c>
      <c r="C7" s="94">
        <f>Raw_Info!D33</f>
        <v>339</v>
      </c>
      <c r="D7" s="95">
        <f>Assumptions!B27</f>
        <v>500</v>
      </c>
      <c r="E7" s="95">
        <f>Assumptions!C27</f>
        <v>600</v>
      </c>
      <c r="F7" s="95">
        <f>Assumptions!D27</f>
        <v>650</v>
      </c>
      <c r="G7" s="95">
        <f>Assumptions!E27</f>
        <v>700</v>
      </c>
      <c r="H7" s="95">
        <f>Assumptions!F27</f>
        <v>700</v>
      </c>
      <c r="I7" s="49" t="s">
        <v>365</v>
      </c>
    </row>
    <row r="8" spans="1:9" ht="15">
      <c r="A8" s="68" t="s">
        <v>366</v>
      </c>
      <c r="B8" s="86">
        <f t="shared" ref="B8:H8" si="0">B5+B6+B7</f>
        <v>1916</v>
      </c>
      <c r="C8" s="86">
        <f t="shared" si="0"/>
        <v>7488</v>
      </c>
      <c r="D8" s="87">
        <f t="shared" si="0"/>
        <v>11171.916712328763</v>
      </c>
      <c r="E8" s="87">
        <f t="shared" si="0"/>
        <v>9617.0964164383622</v>
      </c>
      <c r="F8" s="87">
        <f t="shared" si="0"/>
        <v>8232.3726989589049</v>
      </c>
      <c r="G8" s="87">
        <f t="shared" si="0"/>
        <v>9766.8485064438282</v>
      </c>
      <c r="H8" s="87">
        <f t="shared" si="0"/>
        <v>11194.388901710132</v>
      </c>
      <c r="I8" s="88" t="e">
        <f>Cash + AR + Prepaid</f>
        <v>#NAME?</v>
      </c>
    </row>
    <row r="10" spans="1:9" ht="15">
      <c r="A10" s="46" t="s">
        <v>367</v>
      </c>
      <c r="B10" s="2"/>
      <c r="C10" s="2"/>
      <c r="D10" s="2"/>
      <c r="E10" s="2"/>
      <c r="F10" s="2"/>
      <c r="G10" s="2"/>
      <c r="H10" s="2"/>
      <c r="I10" s="2"/>
    </row>
    <row r="11" spans="1:9" ht="15">
      <c r="A11" s="7" t="s">
        <v>368</v>
      </c>
      <c r="B11" s="94">
        <f>Raw_Info!C35</f>
        <v>11915</v>
      </c>
      <c r="C11" s="94">
        <f>Raw_Info!D35</f>
        <v>30557</v>
      </c>
      <c r="D11" s="95">
        <f>C11*(1-Assumptions!B36)+Assumptions!B35</f>
        <v>46890.16</v>
      </c>
      <c r="E11" s="95">
        <f>D11*(1-Assumptions!C36)+Assumptions!C35</f>
        <v>58794.439200000001</v>
      </c>
      <c r="F11" s="95">
        <f>E11*(1-Assumptions!D36)+Assumptions!D35</f>
        <v>65563.217711999998</v>
      </c>
      <c r="G11" s="95">
        <f>F11*(1-Assumptions!E36)+Assumptions!E35</f>
        <v>67728.735055199999</v>
      </c>
      <c r="H11" s="95">
        <f>G11*(1-Assumptions!F36)+Assumptions!F35</f>
        <v>67569.424796920008</v>
      </c>
      <c r="I11" s="49"/>
    </row>
    <row r="12" spans="1:9" ht="15">
      <c r="A12" s="7" t="s">
        <v>369</v>
      </c>
      <c r="B12" s="94">
        <f>Raw_Info!C36</f>
        <v>5</v>
      </c>
      <c r="C12" s="94">
        <f>Raw_Info!D36</f>
        <v>235</v>
      </c>
      <c r="D12" s="95">
        <f>Assumptions!B37</f>
        <v>250</v>
      </c>
      <c r="E12" s="95">
        <f>Assumptions!C37</f>
        <v>230</v>
      </c>
      <c r="F12" s="95">
        <f>Assumptions!D37</f>
        <v>210</v>
      </c>
      <c r="G12" s="95">
        <f>Assumptions!E37</f>
        <v>190</v>
      </c>
      <c r="H12" s="95">
        <f>Assumptions!F37</f>
        <v>170</v>
      </c>
      <c r="I12" s="49" t="s">
        <v>370</v>
      </c>
    </row>
    <row r="13" spans="1:9" ht="15">
      <c r="A13" s="7" t="s">
        <v>371</v>
      </c>
      <c r="B13" s="94">
        <f>Raw_Info!C37</f>
        <v>20</v>
      </c>
      <c r="C13" s="94">
        <f>Raw_Info!D37</f>
        <v>1101</v>
      </c>
      <c r="D13" s="95">
        <f>Assumptions!B38</f>
        <v>1101</v>
      </c>
      <c r="E13" s="95">
        <f>Assumptions!C38</f>
        <v>1101</v>
      </c>
      <c r="F13" s="95">
        <f>Assumptions!D38</f>
        <v>1101</v>
      </c>
      <c r="G13" s="95">
        <f>Assumptions!E38</f>
        <v>1101</v>
      </c>
      <c r="H13" s="95">
        <f>Assumptions!F38</f>
        <v>1101</v>
      </c>
      <c r="I13" s="49" t="s">
        <v>372</v>
      </c>
    </row>
    <row r="14" spans="1:9" ht="15">
      <c r="A14" s="7" t="s">
        <v>373</v>
      </c>
      <c r="B14" s="94">
        <f>Raw_Info!C38</f>
        <v>2590</v>
      </c>
      <c r="C14" s="94">
        <f>Raw_Info!D38</f>
        <v>8231</v>
      </c>
      <c r="D14" s="95">
        <f>Assumptions!B39</f>
        <v>10000</v>
      </c>
      <c r="E14" s="95">
        <f>Assumptions!C39</f>
        <v>12000</v>
      </c>
      <c r="F14" s="95">
        <f>Assumptions!D39</f>
        <v>13000</v>
      </c>
      <c r="G14" s="95">
        <f>Assumptions!E39</f>
        <v>13500</v>
      </c>
      <c r="H14" s="95">
        <f>Assumptions!F39</f>
        <v>13500</v>
      </c>
      <c r="I14" s="49" t="s">
        <v>374</v>
      </c>
    </row>
    <row r="15" spans="1:9" ht="15">
      <c r="A15" s="7" t="s">
        <v>375</v>
      </c>
      <c r="B15" s="94">
        <f>Raw_Info!C39</f>
        <v>1387</v>
      </c>
      <c r="C15" s="94">
        <f>Raw_Info!D39</f>
        <v>1690</v>
      </c>
      <c r="D15" s="95">
        <f>Assumptions!B40</f>
        <v>2000</v>
      </c>
      <c r="E15" s="95">
        <f>Assumptions!C40</f>
        <v>2200</v>
      </c>
      <c r="F15" s="95">
        <f>Assumptions!D40</f>
        <v>2400</v>
      </c>
      <c r="G15" s="95">
        <f>Assumptions!E40</f>
        <v>2500</v>
      </c>
      <c r="H15" s="95">
        <f>Assumptions!F40</f>
        <v>2500</v>
      </c>
      <c r="I15" s="49" t="s">
        <v>376</v>
      </c>
    </row>
    <row r="16" spans="1:9" ht="15">
      <c r="A16" s="68" t="s">
        <v>377</v>
      </c>
      <c r="B16" s="86">
        <f t="shared" ref="B16:H16" si="1">B11+B12+B13+B14+B15</f>
        <v>15917</v>
      </c>
      <c r="C16" s="86">
        <f t="shared" si="1"/>
        <v>41814</v>
      </c>
      <c r="D16" s="87">
        <f t="shared" si="1"/>
        <v>60241.16</v>
      </c>
      <c r="E16" s="87">
        <f t="shared" si="1"/>
        <v>74325.439199999993</v>
      </c>
      <c r="F16" s="87">
        <f t="shared" si="1"/>
        <v>82274.217711999998</v>
      </c>
      <c r="G16" s="87">
        <f t="shared" si="1"/>
        <v>85019.735055199999</v>
      </c>
      <c r="H16" s="87">
        <f t="shared" si="1"/>
        <v>84840.424796920008</v>
      </c>
      <c r="I16" s="88" t="e">
        <f>PP&amp;E + Intang + GW + ROU + Other NCA</f>
        <v>#NAME?</v>
      </c>
    </row>
    <row r="18" spans="1:9" ht="15">
      <c r="A18" s="46" t="s">
        <v>378</v>
      </c>
      <c r="B18" s="100">
        <f t="shared" ref="B18:H18" si="2">B8+B16</f>
        <v>17833</v>
      </c>
      <c r="C18" s="100">
        <f t="shared" si="2"/>
        <v>49302</v>
      </c>
      <c r="D18" s="100">
        <f t="shared" si="2"/>
        <v>71413.076712328766</v>
      </c>
      <c r="E18" s="100">
        <f t="shared" si="2"/>
        <v>83942.535616438356</v>
      </c>
      <c r="F18" s="100">
        <f t="shared" si="2"/>
        <v>90506.590410958903</v>
      </c>
      <c r="G18" s="100">
        <f t="shared" si="2"/>
        <v>94786.583561643827</v>
      </c>
      <c r="H18" s="100">
        <f t="shared" si="2"/>
        <v>96034.81369863014</v>
      </c>
      <c r="I18" s="85" t="e">
        <f>Total CA + Total NCA</f>
        <v>#NAME?</v>
      </c>
    </row>
    <row r="20" spans="1:9" ht="15">
      <c r="A20" s="46" t="s">
        <v>379</v>
      </c>
      <c r="B20" s="2"/>
      <c r="C20" s="2"/>
      <c r="D20" s="2"/>
      <c r="E20" s="2"/>
      <c r="F20" s="2"/>
      <c r="G20" s="2"/>
      <c r="H20" s="2"/>
      <c r="I20" s="2"/>
    </row>
    <row r="21" spans="1:9" ht="15">
      <c r="A21" s="7" t="s">
        <v>380</v>
      </c>
      <c r="B21" s="94">
        <f>Raw_Info!C42</f>
        <v>868</v>
      </c>
      <c r="C21" s="94">
        <f>Raw_Info!D42</f>
        <v>1623</v>
      </c>
      <c r="D21" s="95">
        <f>IS!E10*Assumptions!B28/365</f>
        <v>1232.8767123287673</v>
      </c>
      <c r="E21" s="95">
        <f>IS!F10*Assumptions!C28/365</f>
        <v>1643.8356164383565</v>
      </c>
      <c r="F21" s="95">
        <f>IS!G10*Assumptions!D28/365</f>
        <v>1735.8904109589039</v>
      </c>
      <c r="G21" s="95">
        <f>IS!H10*Assumptions!E28/365</f>
        <v>1844.3835616438353</v>
      </c>
      <c r="H21" s="95">
        <f>IS!I10*Assumptions!F28/365</f>
        <v>1863.013698630137</v>
      </c>
      <c r="I21" s="49" t="e">
        <f>COGS * AP Days / 365</f>
        <v>#NAME?</v>
      </c>
    </row>
    <row r="22" spans="1:9" ht="15">
      <c r="A22" s="7" t="s">
        <v>381</v>
      </c>
      <c r="B22" s="94">
        <f>Raw_Info!C43</f>
        <v>356</v>
      </c>
      <c r="C22" s="94">
        <f>Raw_Info!D43</f>
        <v>5773</v>
      </c>
      <c r="D22" s="95">
        <f>Assumptions!B29</f>
        <v>6500</v>
      </c>
      <c r="E22" s="95">
        <f>Assumptions!C29</f>
        <v>7000</v>
      </c>
      <c r="F22" s="95">
        <f>Assumptions!D29</f>
        <v>7500</v>
      </c>
      <c r="G22" s="95">
        <f>Assumptions!E29</f>
        <v>7800</v>
      </c>
      <c r="H22" s="95">
        <f>Assumptions!F29</f>
        <v>8000</v>
      </c>
      <c r="I22" s="49" t="s">
        <v>382</v>
      </c>
    </row>
    <row r="23" spans="1:9" ht="15">
      <c r="A23" s="7" t="s">
        <v>383</v>
      </c>
      <c r="B23" s="94">
        <f>Raw_Info!C44</f>
        <v>2468</v>
      </c>
      <c r="C23" s="94">
        <f>Raw_Info!D44</f>
        <v>6708</v>
      </c>
      <c r="D23" s="95">
        <f>Assumptions!B43</f>
        <v>8000</v>
      </c>
      <c r="E23" s="95">
        <f>Assumptions!C43</f>
        <v>7000</v>
      </c>
      <c r="F23" s="95">
        <f>Assumptions!D43</f>
        <v>6500</v>
      </c>
      <c r="G23" s="95">
        <f>Assumptions!E43</f>
        <v>6000</v>
      </c>
      <c r="H23" s="95">
        <f>Assumptions!F43</f>
        <v>5500</v>
      </c>
      <c r="I23" s="49" t="s">
        <v>384</v>
      </c>
    </row>
    <row r="24" spans="1:9" ht="15">
      <c r="A24" s="7" t="s">
        <v>385</v>
      </c>
      <c r="B24" s="94">
        <f>Raw_Info!C45</f>
        <v>769</v>
      </c>
      <c r="C24" s="94">
        <f>Raw_Info!D45</f>
        <v>1709</v>
      </c>
      <c r="D24" s="95">
        <f>Assumptions!B30</f>
        <v>2500</v>
      </c>
      <c r="E24" s="95">
        <f>Assumptions!C30</f>
        <v>3000</v>
      </c>
      <c r="F24" s="95">
        <f>Assumptions!D30</f>
        <v>3200</v>
      </c>
      <c r="G24" s="95">
        <f>Assumptions!E30</f>
        <v>3400</v>
      </c>
      <c r="H24" s="95">
        <f>Assumptions!F30</f>
        <v>3500</v>
      </c>
      <c r="I24" s="49" t="s">
        <v>386</v>
      </c>
    </row>
    <row r="25" spans="1:9" ht="15">
      <c r="A25" s="7" t="s">
        <v>387</v>
      </c>
      <c r="B25" s="94">
        <f>Raw_Info!C46</f>
        <v>502</v>
      </c>
      <c r="C25" s="94">
        <f>Raw_Info!D46</f>
        <v>627</v>
      </c>
      <c r="D25" s="95">
        <f>Assumptions!B31</f>
        <v>800</v>
      </c>
      <c r="E25" s="95">
        <f>Assumptions!C31</f>
        <v>900</v>
      </c>
      <c r="F25" s="95">
        <f>Assumptions!D31</f>
        <v>950</v>
      </c>
      <c r="G25" s="95">
        <f>Assumptions!E31</f>
        <v>1000</v>
      </c>
      <c r="H25" s="95">
        <f>Assumptions!F31</f>
        <v>1000</v>
      </c>
      <c r="I25" s="49" t="s">
        <v>388</v>
      </c>
    </row>
    <row r="26" spans="1:9" ht="15">
      <c r="A26" s="68" t="s">
        <v>389</v>
      </c>
      <c r="B26" s="86">
        <f t="shared" ref="B26:H26" si="3">B21+B22+B23+B24+B25</f>
        <v>4963</v>
      </c>
      <c r="C26" s="86">
        <f t="shared" si="3"/>
        <v>16440</v>
      </c>
      <c r="D26" s="87">
        <f t="shared" si="3"/>
        <v>19032.876712328769</v>
      </c>
      <c r="E26" s="87">
        <f t="shared" si="3"/>
        <v>19543.835616438359</v>
      </c>
      <c r="F26" s="87">
        <f t="shared" si="3"/>
        <v>19885.890410958906</v>
      </c>
      <c r="G26" s="87">
        <f t="shared" si="3"/>
        <v>20044.383561643837</v>
      </c>
      <c r="H26" s="87">
        <f t="shared" si="3"/>
        <v>19863.013698630137</v>
      </c>
      <c r="I26" s="88" t="e">
        <f>AP + Accrued + Debt_curr + DefRev + Other CL</f>
        <v>#NAME?</v>
      </c>
    </row>
    <row r="28" spans="1:9" ht="15">
      <c r="A28" s="46" t="s">
        <v>390</v>
      </c>
      <c r="B28" s="2"/>
      <c r="C28" s="2"/>
      <c r="D28" s="2"/>
      <c r="E28" s="2"/>
      <c r="F28" s="2"/>
      <c r="G28" s="2"/>
      <c r="H28" s="2"/>
      <c r="I28" s="2"/>
    </row>
    <row r="29" spans="1:9" ht="15">
      <c r="A29" s="7" t="s">
        <v>391</v>
      </c>
      <c r="B29" s="94">
        <f>Raw_Info!C48</f>
        <v>5458</v>
      </c>
      <c r="C29" s="94">
        <f>Raw_Info!D48</f>
        <v>14665</v>
      </c>
      <c r="D29" s="95">
        <f>Assumptions!B44</f>
        <v>27000</v>
      </c>
      <c r="E29" s="95">
        <f>Assumptions!C44</f>
        <v>28000</v>
      </c>
      <c r="F29" s="95">
        <f>Assumptions!D44</f>
        <v>26000</v>
      </c>
      <c r="G29" s="95">
        <f>Assumptions!E44</f>
        <v>23000</v>
      </c>
      <c r="H29" s="95">
        <f>Assumptions!F44</f>
        <v>20000</v>
      </c>
      <c r="I29" s="49" t="s">
        <v>392</v>
      </c>
    </row>
    <row r="30" spans="1:9" ht="15">
      <c r="A30" s="7" t="s">
        <v>393</v>
      </c>
      <c r="B30" s="94">
        <f>Raw_Info!C49</f>
        <v>3295</v>
      </c>
      <c r="C30" s="94">
        <f>Raw_Info!D49</f>
        <v>6476</v>
      </c>
      <c r="D30" s="95">
        <f>Assumptions!B32</f>
        <v>8000</v>
      </c>
      <c r="E30" s="95">
        <f>Assumptions!C32</f>
        <v>10000</v>
      </c>
      <c r="F30" s="95">
        <f>Assumptions!D32</f>
        <v>11000</v>
      </c>
      <c r="G30" s="95">
        <f>Assumptions!E32</f>
        <v>11500</v>
      </c>
      <c r="H30" s="95">
        <f>Assumptions!F32</f>
        <v>10000</v>
      </c>
      <c r="I30" s="49" t="s">
        <v>394</v>
      </c>
    </row>
    <row r="31" spans="1:9" ht="15">
      <c r="A31" s="7" t="s">
        <v>395</v>
      </c>
      <c r="B31" s="94">
        <f>Raw_Info!C50</f>
        <v>2423</v>
      </c>
      <c r="C31" s="94">
        <f>Raw_Info!D50</f>
        <v>7984</v>
      </c>
      <c r="D31" s="95">
        <f>Assumptions!B45</f>
        <v>10000</v>
      </c>
      <c r="E31" s="95">
        <f>Assumptions!C45</f>
        <v>12000</v>
      </c>
      <c r="F31" s="95">
        <f>Assumptions!D45</f>
        <v>13000</v>
      </c>
      <c r="G31" s="95">
        <f>Assumptions!E45</f>
        <v>13500</v>
      </c>
      <c r="H31" s="95">
        <f>Assumptions!F45</f>
        <v>13500</v>
      </c>
      <c r="I31" s="49" t="s">
        <v>396</v>
      </c>
    </row>
    <row r="32" spans="1:9" ht="15">
      <c r="A32" s="7" t="s">
        <v>397</v>
      </c>
      <c r="B32" s="94">
        <f>Raw_Info!C51</f>
        <v>386</v>
      </c>
      <c r="C32" s="94">
        <f>Raw_Info!D51</f>
        <v>402</v>
      </c>
      <c r="D32" s="95">
        <f>Assumptions!B46</f>
        <v>500</v>
      </c>
      <c r="E32" s="95">
        <f>Assumptions!C46</f>
        <v>500</v>
      </c>
      <c r="F32" s="95">
        <f>Assumptions!D46</f>
        <v>500</v>
      </c>
      <c r="G32" s="95">
        <f>Assumptions!E46</f>
        <v>500</v>
      </c>
      <c r="H32" s="95">
        <f>Assumptions!F46</f>
        <v>500</v>
      </c>
      <c r="I32" s="49" t="s">
        <v>398</v>
      </c>
    </row>
    <row r="33" spans="1:9" ht="15">
      <c r="A33" s="68" t="s">
        <v>399</v>
      </c>
      <c r="B33" s="86">
        <f t="shared" ref="B33:H33" si="4">B29+B30+B31+B32</f>
        <v>11562</v>
      </c>
      <c r="C33" s="86">
        <f t="shared" si="4"/>
        <v>29527</v>
      </c>
      <c r="D33" s="87">
        <f t="shared" si="4"/>
        <v>45500</v>
      </c>
      <c r="E33" s="87">
        <f t="shared" si="4"/>
        <v>50500</v>
      </c>
      <c r="F33" s="87">
        <f t="shared" si="4"/>
        <v>50500</v>
      </c>
      <c r="G33" s="87">
        <f t="shared" si="4"/>
        <v>48500</v>
      </c>
      <c r="H33" s="87">
        <f t="shared" si="4"/>
        <v>44000</v>
      </c>
      <c r="I33" s="88" t="e">
        <f>Debt_NC + DefRev_NC + Lease_NC + Other NCL</f>
        <v>#NAME?</v>
      </c>
    </row>
    <row r="35" spans="1:9" ht="15">
      <c r="A35" s="46" t="s">
        <v>400</v>
      </c>
      <c r="B35" s="100">
        <f t="shared" ref="B35:H35" si="5">B26+B33</f>
        <v>16525</v>
      </c>
      <c r="C35" s="100">
        <f t="shared" si="5"/>
        <v>45967</v>
      </c>
      <c r="D35" s="100">
        <f t="shared" si="5"/>
        <v>64532.876712328769</v>
      </c>
      <c r="E35" s="100">
        <f t="shared" si="5"/>
        <v>70043.835616438359</v>
      </c>
      <c r="F35" s="100">
        <f t="shared" si="5"/>
        <v>70385.890410958906</v>
      </c>
      <c r="G35" s="100">
        <f t="shared" si="5"/>
        <v>68544.38356164383</v>
      </c>
      <c r="H35" s="100">
        <f t="shared" si="5"/>
        <v>63863.013698630137</v>
      </c>
      <c r="I35" s="85" t="e">
        <f>Total CL + Total NCL</f>
        <v>#NAME?</v>
      </c>
    </row>
    <row r="37" spans="1:9" ht="15">
      <c r="A37" s="46" t="s">
        <v>401</v>
      </c>
      <c r="B37" s="2"/>
      <c r="C37" s="2"/>
      <c r="D37" s="2"/>
      <c r="E37" s="2"/>
      <c r="F37" s="2"/>
      <c r="G37" s="2"/>
      <c r="H37" s="2"/>
      <c r="I37" s="2"/>
    </row>
    <row r="38" spans="1:9" ht="15">
      <c r="A38" s="7" t="s">
        <v>402</v>
      </c>
      <c r="B38" s="94">
        <f>Raw_Info!C54</f>
        <v>1722</v>
      </c>
      <c r="C38" s="94">
        <f>Raw_Info!D54</f>
        <v>0</v>
      </c>
      <c r="D38" s="95">
        <f>0</f>
        <v>0</v>
      </c>
      <c r="E38" s="95">
        <f>0</f>
        <v>0</v>
      </c>
      <c r="F38" s="95">
        <f>0</f>
        <v>0</v>
      </c>
      <c r="G38" s="95">
        <f>0</f>
        <v>0</v>
      </c>
      <c r="H38" s="95">
        <f>0</f>
        <v>0</v>
      </c>
      <c r="I38" s="49" t="s">
        <v>403</v>
      </c>
    </row>
    <row r="39" spans="1:9" ht="15">
      <c r="A39" s="7" t="s">
        <v>404</v>
      </c>
      <c r="B39" s="94">
        <f>Raw_Info!C55</f>
        <v>-34</v>
      </c>
      <c r="C39" s="94">
        <f>Raw_Info!D55</f>
        <v>-34</v>
      </c>
      <c r="D39" s="95">
        <f>-34</f>
        <v>-34</v>
      </c>
      <c r="E39" s="95">
        <f>-34</f>
        <v>-34</v>
      </c>
      <c r="F39" s="95">
        <f>-34</f>
        <v>-34</v>
      </c>
      <c r="G39" s="95">
        <f>-34</f>
        <v>-34</v>
      </c>
      <c r="H39" s="95">
        <f>-34</f>
        <v>-34</v>
      </c>
      <c r="I39" s="49" t="s">
        <v>405</v>
      </c>
    </row>
    <row r="40" spans="1:9" ht="15">
      <c r="A40" s="7" t="s">
        <v>406</v>
      </c>
      <c r="B40" s="94">
        <f>Raw_Info!C56</f>
        <v>1096</v>
      </c>
      <c r="C40" s="94">
        <f>Raw_Info!D56</f>
        <v>6012</v>
      </c>
      <c r="D40" s="95">
        <f>C40+IS!E42+Assumptions!B49</f>
        <v>9812</v>
      </c>
      <c r="E40" s="95">
        <f>D40+IS!F42+Assumptions!C49</f>
        <v>14712</v>
      </c>
      <c r="F40" s="95">
        <f>E40+IS!G42+Assumptions!D49</f>
        <v>17712</v>
      </c>
      <c r="G40" s="95">
        <f>F40+IS!H42+Assumptions!E49</f>
        <v>19762</v>
      </c>
      <c r="H40" s="95">
        <f>G40+IS!I42+Assumptions!F49</f>
        <v>21362</v>
      </c>
      <c r="I40" s="49" t="e">
        <f>Prior + SBC + Equity Issuance</f>
        <v>#NAME?</v>
      </c>
    </row>
    <row r="41" spans="1:9" ht="15">
      <c r="A41" s="7" t="s">
        <v>407</v>
      </c>
      <c r="B41" s="94">
        <f>Raw_Info!C57</f>
        <v>-1476</v>
      </c>
      <c r="C41" s="94">
        <f>Raw_Info!D57</f>
        <v>-2643</v>
      </c>
      <c r="D41" s="95">
        <f>C41+IS!E34</f>
        <v>-2897.8</v>
      </c>
      <c r="E41" s="95">
        <f>D41+IS!F34</f>
        <v>-779.30000000000018</v>
      </c>
      <c r="F41" s="95">
        <f>E41+IS!G34</f>
        <v>2442.6999999999998</v>
      </c>
      <c r="G41" s="95">
        <f>F41+IS!H34</f>
        <v>6514.2</v>
      </c>
      <c r="H41" s="95">
        <f>G41+IS!I34</f>
        <v>10843.8</v>
      </c>
      <c r="I41" s="49"/>
    </row>
    <row r="42" spans="1:9" ht="15">
      <c r="A42" s="68" t="s">
        <v>408</v>
      </c>
      <c r="B42" s="86">
        <f t="shared" ref="B42:H42" si="6">B38+B39+B40+B41</f>
        <v>1308</v>
      </c>
      <c r="C42" s="86">
        <f t="shared" si="6"/>
        <v>3335</v>
      </c>
      <c r="D42" s="87">
        <f t="shared" si="6"/>
        <v>6880.2</v>
      </c>
      <c r="E42" s="87">
        <f t="shared" si="6"/>
        <v>13898.7</v>
      </c>
      <c r="F42" s="87">
        <f t="shared" si="6"/>
        <v>20120.7</v>
      </c>
      <c r="G42" s="87">
        <f t="shared" si="6"/>
        <v>26242.2</v>
      </c>
      <c r="H42" s="87">
        <f t="shared" si="6"/>
        <v>32171.8</v>
      </c>
      <c r="I42" s="88" t="e">
        <f>Mezz + Treasury + APIC + Accum Deficit</f>
        <v>#NAME?</v>
      </c>
    </row>
    <row r="43" spans="1:9" ht="15">
      <c r="A43" s="7" t="s">
        <v>409</v>
      </c>
      <c r="B43" s="94">
        <f>0</f>
        <v>0</v>
      </c>
      <c r="C43" s="94">
        <f>0</f>
        <v>0</v>
      </c>
      <c r="D43" s="95">
        <f>0</f>
        <v>0</v>
      </c>
      <c r="E43" s="95">
        <f>0</f>
        <v>0</v>
      </c>
      <c r="F43" s="95">
        <f>0</f>
        <v>0</v>
      </c>
      <c r="G43" s="95">
        <f>0</f>
        <v>0</v>
      </c>
      <c r="H43" s="95">
        <f>0</f>
        <v>0</v>
      </c>
      <c r="I43" s="49" t="s">
        <v>410</v>
      </c>
    </row>
    <row r="45" spans="1:9" ht="15">
      <c r="A45" s="46" t="s">
        <v>411</v>
      </c>
      <c r="B45" s="100">
        <f t="shared" ref="B45:H45" si="7">B35+B42+B43</f>
        <v>17833</v>
      </c>
      <c r="C45" s="100">
        <f t="shared" si="7"/>
        <v>49302</v>
      </c>
      <c r="D45" s="100">
        <f t="shared" si="7"/>
        <v>71413.076712328766</v>
      </c>
      <c r="E45" s="100">
        <f t="shared" si="7"/>
        <v>83942.535616438356</v>
      </c>
      <c r="F45" s="100">
        <f t="shared" si="7"/>
        <v>90506.590410958903</v>
      </c>
      <c r="G45" s="100">
        <f t="shared" si="7"/>
        <v>94786.583561643827</v>
      </c>
      <c r="H45" s="100">
        <f t="shared" si="7"/>
        <v>96034.81369863014</v>
      </c>
      <c r="I45" s="85" t="e">
        <f>Total Liab + Total Equity + NCI</f>
        <v>#NAME?</v>
      </c>
    </row>
    <row r="47" spans="1:9" ht="15">
      <c r="A47" s="92" t="s">
        <v>412</v>
      </c>
      <c r="B47" s="52">
        <f t="shared" ref="B47:H47" si="8">B18-B45</f>
        <v>0</v>
      </c>
      <c r="C47" s="52">
        <f t="shared" si="8"/>
        <v>0</v>
      </c>
      <c r="D47" s="52">
        <f t="shared" si="8"/>
        <v>0</v>
      </c>
      <c r="E47" s="52">
        <f t="shared" si="8"/>
        <v>0</v>
      </c>
      <c r="F47" s="52">
        <f t="shared" si="8"/>
        <v>0</v>
      </c>
      <c r="G47" s="52">
        <f t="shared" si="8"/>
        <v>0</v>
      </c>
      <c r="H47" s="52">
        <f t="shared" si="8"/>
        <v>0</v>
      </c>
      <c r="I47" s="1"/>
    </row>
  </sheetData>
  <mergeCells count="2">
    <mergeCell ref="A1:I1"/>
    <mergeCell ref="A2:I2"/>
  </mergeCells>
  <phoneticPr fontId="2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5496"/>
  </sheetPr>
  <dimension ref="A1:J38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35" customWidth="1"/>
    <col min="2" max="9" width="14" customWidth="1"/>
    <col min="10" max="10" width="30" customWidth="1"/>
  </cols>
  <sheetData>
    <row r="1" spans="1:10" ht="19">
      <c r="A1" s="104" t="s">
        <v>413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0" ht="15">
      <c r="A2" s="102" t="s">
        <v>414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0" ht="15">
      <c r="A3" s="8"/>
      <c r="B3" s="8" t="s">
        <v>15</v>
      </c>
      <c r="C3" s="8" t="s">
        <v>16</v>
      </c>
      <c r="D3" s="8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9" t="s">
        <v>22</v>
      </c>
      <c r="J3" s="8" t="s">
        <v>79</v>
      </c>
    </row>
    <row r="4" spans="1:10" ht="15">
      <c r="A4" s="46" t="s">
        <v>415</v>
      </c>
      <c r="B4" s="2"/>
      <c r="C4" s="2"/>
      <c r="D4" s="2"/>
      <c r="E4" s="2"/>
      <c r="F4" s="2"/>
      <c r="G4" s="2"/>
      <c r="H4" s="2"/>
      <c r="I4" s="2"/>
      <c r="J4" s="2"/>
    </row>
    <row r="5" spans="1:10" ht="15">
      <c r="A5" s="7" t="s">
        <v>344</v>
      </c>
      <c r="B5" s="94">
        <f>Raw_Info!B62</f>
        <v>-594</v>
      </c>
      <c r="C5" s="94">
        <f>Raw_Info!C62</f>
        <v>-863</v>
      </c>
      <c r="D5" s="94">
        <f>Raw_Info!D62</f>
        <v>-1167</v>
      </c>
      <c r="E5" s="95">
        <f>IS!E34</f>
        <v>-254.8</v>
      </c>
      <c r="F5" s="95">
        <f>IS!F34</f>
        <v>2118.5</v>
      </c>
      <c r="G5" s="95">
        <f>IS!G34</f>
        <v>3222</v>
      </c>
      <c r="H5" s="95">
        <f>IS!H34</f>
        <v>4071.5</v>
      </c>
      <c r="I5" s="95">
        <f>IS!I34</f>
        <v>4329.6000000000004</v>
      </c>
      <c r="J5" s="49" t="e">
        <f>IS Net Income</f>
        <v>#NAME?</v>
      </c>
    </row>
    <row r="6" spans="1:10" ht="15">
      <c r="A6" s="7" t="s">
        <v>416</v>
      </c>
      <c r="B6" s="94">
        <f>Raw_Info!B63</f>
        <v>103</v>
      </c>
      <c r="C6" s="94">
        <f>Raw_Info!C63</f>
        <v>863</v>
      </c>
      <c r="D6" s="94">
        <f>Raw_Info!D63</f>
        <v>2454</v>
      </c>
      <c r="E6" s="95">
        <f>IS!E41</f>
        <v>4500</v>
      </c>
      <c r="F6" s="95">
        <f>IS!F41</f>
        <v>5800</v>
      </c>
      <c r="G6" s="95">
        <f>IS!G41</f>
        <v>6500</v>
      </c>
      <c r="H6" s="95">
        <f>IS!H41</f>
        <v>6800</v>
      </c>
      <c r="I6" s="95">
        <f>IS!I41</f>
        <v>7000</v>
      </c>
      <c r="J6" s="49" t="e">
        <f>IS D&amp;A memo item</f>
        <v>#NAME?</v>
      </c>
    </row>
    <row r="7" spans="1:10" ht="15">
      <c r="A7" s="7" t="s">
        <v>354</v>
      </c>
      <c r="B7" s="94">
        <f>Raw_Info!B64</f>
        <v>15</v>
      </c>
      <c r="C7" s="94">
        <f>Raw_Info!C64</f>
        <v>31</v>
      </c>
      <c r="D7" s="94">
        <f>Raw_Info!D64</f>
        <v>630</v>
      </c>
      <c r="E7" s="95">
        <f>IS!E42</f>
        <v>800</v>
      </c>
      <c r="F7" s="95">
        <f>IS!F42</f>
        <v>900</v>
      </c>
      <c r="G7" s="95">
        <f>IS!G42</f>
        <v>1000</v>
      </c>
      <c r="H7" s="95">
        <f>IS!H42</f>
        <v>1050</v>
      </c>
      <c r="I7" s="95">
        <f>IS!I42</f>
        <v>1100</v>
      </c>
      <c r="J7" s="49" t="e">
        <f>IS SBC memo item</f>
        <v>#NAME?</v>
      </c>
    </row>
    <row r="8" spans="1:10" ht="15">
      <c r="A8" s="7" t="s">
        <v>417</v>
      </c>
      <c r="B8" s="94">
        <f>0</f>
        <v>0</v>
      </c>
      <c r="C8" s="94">
        <f>0</f>
        <v>0</v>
      </c>
      <c r="D8" s="94">
        <f>0</f>
        <v>0</v>
      </c>
      <c r="E8" s="95">
        <f>-(BS!D6-BS!C6)</f>
        <v>258.04109589041082</v>
      </c>
      <c r="F8" s="95">
        <f>-(BS!E6-BS!D6)</f>
        <v>-1198.6301369863008</v>
      </c>
      <c r="G8" s="95">
        <f>-(BS!F6-BS!E6)</f>
        <v>-109.58904109589093</v>
      </c>
      <c r="H8" s="95">
        <f>-(BS!G6-BS!F6)</f>
        <v>-54.794520547945467</v>
      </c>
      <c r="I8" s="95">
        <f>-(BS!H6-BS!G6)</f>
        <v>-178.08219178082163</v>
      </c>
      <c r="J8" s="49" t="e">
        <f>-(Current AR - Prior AR)</f>
        <v>#NAME?</v>
      </c>
    </row>
    <row r="9" spans="1:10" ht="15">
      <c r="A9" s="7" t="s">
        <v>418</v>
      </c>
      <c r="B9" s="94">
        <f>0</f>
        <v>0</v>
      </c>
      <c r="C9" s="94">
        <f>0</f>
        <v>0</v>
      </c>
      <c r="D9" s="94">
        <f>0</f>
        <v>0</v>
      </c>
      <c r="E9" s="95">
        <f>-(BS!D7-BS!C7)</f>
        <v>-161</v>
      </c>
      <c r="F9" s="95">
        <f>-(BS!E7-BS!D7)</f>
        <v>-100</v>
      </c>
      <c r="G9" s="95">
        <f>-(BS!F7-BS!E7)</f>
        <v>-50</v>
      </c>
      <c r="H9" s="95">
        <f>-(BS!G7-BS!F7)</f>
        <v>-50</v>
      </c>
      <c r="I9" s="95">
        <f>-(BS!H7-BS!G7)</f>
        <v>0</v>
      </c>
      <c r="J9" s="49" t="e">
        <f>-(Current - Prior)</f>
        <v>#NAME?</v>
      </c>
    </row>
    <row r="10" spans="1:10" ht="15">
      <c r="A10" s="7" t="s">
        <v>419</v>
      </c>
      <c r="B10" s="94">
        <f>0</f>
        <v>0</v>
      </c>
      <c r="C10" s="94">
        <f>0</f>
        <v>0</v>
      </c>
      <c r="D10" s="94">
        <f>0</f>
        <v>0</v>
      </c>
      <c r="E10" s="95">
        <f>BS!D21-BS!C21</f>
        <v>-390.12328767123267</v>
      </c>
      <c r="F10" s="95">
        <f>BS!E21-BS!D21</f>
        <v>410.95890410958918</v>
      </c>
      <c r="G10" s="95">
        <f>BS!F21-BS!E21</f>
        <v>92.054794520547375</v>
      </c>
      <c r="H10" s="95">
        <f>BS!G21-BS!F21</f>
        <v>108.49315068493138</v>
      </c>
      <c r="I10" s="95">
        <f>BS!H21-BS!G21</f>
        <v>18.63013698630175</v>
      </c>
      <c r="J10" s="49" t="e">
        <f>Current AP - Prior AP</f>
        <v>#NAME?</v>
      </c>
    </row>
    <row r="11" spans="1:10" ht="15">
      <c r="A11" s="7" t="s">
        <v>420</v>
      </c>
      <c r="B11" s="94">
        <f>0</f>
        <v>0</v>
      </c>
      <c r="C11" s="94">
        <f>0</f>
        <v>0</v>
      </c>
      <c r="D11" s="94">
        <f>0</f>
        <v>0</v>
      </c>
      <c r="E11" s="95">
        <f>BS!D22-BS!C22</f>
        <v>727</v>
      </c>
      <c r="F11" s="95">
        <f>BS!E22-BS!D22</f>
        <v>500</v>
      </c>
      <c r="G11" s="95">
        <f>BS!F22-BS!E22</f>
        <v>500</v>
      </c>
      <c r="H11" s="95">
        <f>BS!G22-BS!F22</f>
        <v>300</v>
      </c>
      <c r="I11" s="95">
        <f>BS!H22-BS!G22</f>
        <v>200</v>
      </c>
      <c r="J11" s="49" t="e">
        <f>Current - Prior</f>
        <v>#NAME?</v>
      </c>
    </row>
    <row r="12" spans="1:10" ht="15">
      <c r="A12" s="7" t="s">
        <v>421</v>
      </c>
      <c r="B12" s="94">
        <f>0</f>
        <v>0</v>
      </c>
      <c r="C12" s="94">
        <f>0</f>
        <v>0</v>
      </c>
      <c r="D12" s="94">
        <f>0</f>
        <v>0</v>
      </c>
      <c r="E12" s="95">
        <f>(BS!D24+BS!D30)-(BS!C24+BS!C30)</f>
        <v>2315</v>
      </c>
      <c r="F12" s="95">
        <f>(BS!E24+BS!E30)-(BS!D24+BS!D30)</f>
        <v>2500</v>
      </c>
      <c r="G12" s="95">
        <f>(BS!F24+BS!F30)-(BS!E24+BS!E30)</f>
        <v>1200</v>
      </c>
      <c r="H12" s="95">
        <f>(BS!G24+BS!G30)-(BS!F24+BS!F30)</f>
        <v>700</v>
      </c>
      <c r="I12" s="95">
        <f>(BS!H24+BS!H30)-(BS!G24+BS!G30)</f>
        <v>-1400</v>
      </c>
      <c r="J12" s="49" t="e">
        <f>Current+NC DefRev change</f>
        <v>#NAME?</v>
      </c>
    </row>
    <row r="13" spans="1:10" ht="15">
      <c r="A13" s="7" t="s">
        <v>422</v>
      </c>
      <c r="B13" s="94">
        <f>Raw_Info!B65</f>
        <v>1702</v>
      </c>
      <c r="C13" s="94">
        <f>Raw_Info!C65</f>
        <v>1678</v>
      </c>
      <c r="D13" s="94">
        <f>Raw_Info!D65</f>
        <v>632</v>
      </c>
      <c r="E13" s="95">
        <f>SUM(E8:E12)</f>
        <v>2748.9178082191784</v>
      </c>
      <c r="F13" s="95">
        <f>SUM(F8:F12)</f>
        <v>2112.3287671232883</v>
      </c>
      <c r="G13" s="95">
        <f>SUM(G8:G12)</f>
        <v>1632.4657534246564</v>
      </c>
      <c r="H13" s="95">
        <f>SUM(H8:H12)</f>
        <v>1003.6986301369859</v>
      </c>
      <c r="I13" s="95">
        <f>SUM(I8:I12)</f>
        <v>-1359.4520547945199</v>
      </c>
      <c r="J13" s="49" t="s">
        <v>423</v>
      </c>
    </row>
    <row r="14" spans="1:10" ht="15">
      <c r="A14" s="7" t="s">
        <v>424</v>
      </c>
      <c r="B14" s="94">
        <f>Raw_Info!B66</f>
        <v>607</v>
      </c>
      <c r="C14" s="94">
        <f>Raw_Info!C66</f>
        <v>1040</v>
      </c>
      <c r="D14" s="94">
        <f>Raw_Info!D66</f>
        <v>509</v>
      </c>
      <c r="E14" s="95">
        <f>Assumptions!B58</f>
        <v>300</v>
      </c>
      <c r="F14" s="95">
        <f>Assumptions!C58</f>
        <v>200</v>
      </c>
      <c r="G14" s="95">
        <f>Assumptions!D58</f>
        <v>150</v>
      </c>
      <c r="H14" s="95">
        <f>Assumptions!E58</f>
        <v>100</v>
      </c>
      <c r="I14" s="95">
        <f>Assumptions!F58</f>
        <v>100</v>
      </c>
      <c r="J14" s="49" t="s">
        <v>425</v>
      </c>
    </row>
    <row r="15" spans="1:10" ht="15">
      <c r="A15" s="7" t="s">
        <v>426</v>
      </c>
      <c r="B15" s="94">
        <f>0</f>
        <v>0</v>
      </c>
      <c r="C15" s="94">
        <f>0</f>
        <v>0</v>
      </c>
      <c r="D15" s="94">
        <f>0</f>
        <v>0</v>
      </c>
      <c r="E15" s="95">
        <f>BS!D45-BS!D16-SUM(BS!D6:'BS'!D7)-BS!C5-E5-E6-E7-E13-E14-E22-E28</f>
        <v>1386.8399999999947</v>
      </c>
      <c r="F15" s="95">
        <f>BS!E45-BS!E16-SUM(BS!E6:'BS'!E7)-BS!D5-F5-F6-F7-F13-F14-F22-F28</f>
        <v>-7184.2791999999881</v>
      </c>
      <c r="G15" s="95">
        <f>BS!F45-BS!F16-SUM(BS!F6:'BS'!F7)-BS!E5-G5-G6-G7-G13-G14-G22-G28</f>
        <v>-3148.7785120000062</v>
      </c>
      <c r="H15" s="95">
        <f>BS!G45-BS!G16-SUM(BS!G6:'BS'!G7)-BS!F5-H5-H6-H7-H13-H14-H22-H28</f>
        <v>304.48265679999349</v>
      </c>
      <c r="I15" s="95">
        <f>BS!H45-BS!H16-SUM(BS!H6:'BS'!H7)-BS!G5-I5-I6-I7-I13-I14-I22-I28</f>
        <v>2479.3102582800002</v>
      </c>
      <c r="J15" s="49" t="s">
        <v>427</v>
      </c>
    </row>
    <row r="16" spans="1:10" ht="15">
      <c r="A16" s="68" t="s">
        <v>428</v>
      </c>
      <c r="B16" s="86">
        <f>Raw_Info!B67</f>
        <v>1833</v>
      </c>
      <c r="C16" s="86">
        <f>Raw_Info!C67</f>
        <v>2749</v>
      </c>
      <c r="D16" s="86">
        <f>Raw_Info!D67</f>
        <v>3058</v>
      </c>
      <c r="E16" s="87">
        <f>E5+E6+E7+E13+E14+E15</f>
        <v>9480.9578082191729</v>
      </c>
      <c r="F16" s="87">
        <f>F5+F6+F7+F13+F14+F15</f>
        <v>3946.5495671233002</v>
      </c>
      <c r="G16" s="87">
        <f>G5+G6+G7+G13+G14+G15</f>
        <v>9355.68724142465</v>
      </c>
      <c r="H16" s="87">
        <f>H5+H6+H7+H13+H14+H15</f>
        <v>13329.681286936979</v>
      </c>
      <c r="I16" s="87">
        <f>I5+I6+I7+I13+I14+I15</f>
        <v>13649.458203485481</v>
      </c>
      <c r="J16" s="88" t="e">
        <f>NI + D&amp;A + SBC + WC + Other + Others plug</f>
        <v>#NAME?</v>
      </c>
    </row>
    <row r="18" spans="1:10" ht="15">
      <c r="A18" s="46" t="s">
        <v>429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15">
      <c r="A19" s="7" t="s">
        <v>430</v>
      </c>
      <c r="B19" s="94">
        <f>Raw_Info!B68</f>
        <v>-2943</v>
      </c>
      <c r="C19" s="94">
        <f>Raw_Info!C68</f>
        <v>-8702</v>
      </c>
      <c r="D19" s="94">
        <f>Raw_Info!D68</f>
        <v>-10309</v>
      </c>
      <c r="E19" s="95">
        <f>-Assumptions!B35</f>
        <v>-20000</v>
      </c>
      <c r="F19" s="95">
        <f>-Assumptions!C35</f>
        <v>-18000</v>
      </c>
      <c r="G19" s="95">
        <f>-Assumptions!D35</f>
        <v>-15000</v>
      </c>
      <c r="H19" s="95">
        <f>-Assumptions!E35</f>
        <v>-12000</v>
      </c>
      <c r="I19" s="95">
        <f>-Assumptions!F35</f>
        <v>-10000</v>
      </c>
      <c r="J19" s="49" t="s">
        <v>431</v>
      </c>
    </row>
    <row r="20" spans="1:10" ht="15">
      <c r="A20" s="7" t="s">
        <v>432</v>
      </c>
      <c r="B20" s="94">
        <f>Raw_Info!B69</f>
        <v>0</v>
      </c>
      <c r="C20" s="94">
        <f>Raw_Info!C69</f>
        <v>0</v>
      </c>
      <c r="D20" s="94">
        <f>Raw_Info!D69</f>
        <v>-108</v>
      </c>
      <c r="E20" s="95">
        <f>Assumptions!B56</f>
        <v>0</v>
      </c>
      <c r="F20" s="95">
        <f>Assumptions!C56</f>
        <v>0</v>
      </c>
      <c r="G20" s="95">
        <f>Assumptions!D56</f>
        <v>0</v>
      </c>
      <c r="H20" s="95">
        <f>Assumptions!E56</f>
        <v>0</v>
      </c>
      <c r="I20" s="95">
        <f>Assumptions!F56</f>
        <v>0</v>
      </c>
      <c r="J20" s="49" t="s">
        <v>433</v>
      </c>
    </row>
    <row r="21" spans="1:10" ht="15">
      <c r="A21" s="7" t="s">
        <v>434</v>
      </c>
      <c r="B21" s="94">
        <f>Raw_Info!B70</f>
        <v>-205</v>
      </c>
      <c r="C21" s="94">
        <f>Raw_Info!C70</f>
        <v>44</v>
      </c>
      <c r="D21" s="94">
        <f>Raw_Info!D70</f>
        <v>146</v>
      </c>
      <c r="E21" s="95">
        <f>Assumptions!B57</f>
        <v>0</v>
      </c>
      <c r="F21" s="95">
        <f>Assumptions!C57</f>
        <v>0</v>
      </c>
      <c r="G21" s="95">
        <f>Assumptions!D57</f>
        <v>0</v>
      </c>
      <c r="H21" s="95">
        <f>Assumptions!E57</f>
        <v>0</v>
      </c>
      <c r="I21" s="95">
        <f>Assumptions!F57</f>
        <v>0</v>
      </c>
      <c r="J21" s="49" t="s">
        <v>435</v>
      </c>
    </row>
    <row r="22" spans="1:10" ht="15">
      <c r="A22" s="68" t="s">
        <v>436</v>
      </c>
      <c r="B22" s="86">
        <f>Raw_Info!B71</f>
        <v>-3148</v>
      </c>
      <c r="C22" s="86">
        <f>Raw_Info!C71</f>
        <v>-8658</v>
      </c>
      <c r="D22" s="86">
        <f>Raw_Info!D71</f>
        <v>-10271</v>
      </c>
      <c r="E22" s="87">
        <f>E19+E20+E21</f>
        <v>-20000</v>
      </c>
      <c r="F22" s="87">
        <f>F19+F20+F21</f>
        <v>-18000</v>
      </c>
      <c r="G22" s="87">
        <f>G19+G20+G21</f>
        <v>-15000</v>
      </c>
      <c r="H22" s="87">
        <f>H19+H20+H21</f>
        <v>-12000</v>
      </c>
      <c r="I22" s="87">
        <f>I19+I20+I21</f>
        <v>-10000</v>
      </c>
      <c r="J22" s="88" t="e">
        <f>Capex + Acquisitions + Other</f>
        <v>#NAME?</v>
      </c>
    </row>
    <row r="24" spans="1:10" ht="15">
      <c r="A24" s="46" t="s">
        <v>437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ht="15">
      <c r="A25" s="7" t="s">
        <v>438</v>
      </c>
      <c r="B25" s="94">
        <f>Raw_Info!B72+Raw_Info!B73</f>
        <v>1414</v>
      </c>
      <c r="C25" s="94">
        <f>Raw_Info!C72+Raw_Info!C73</f>
        <v>6429</v>
      </c>
      <c r="D25" s="94">
        <f>Raw_Info!D72+Raw_Info!D73</f>
        <v>8430</v>
      </c>
      <c r="E25" s="95">
        <f>Assumptions!B54</f>
        <v>12000</v>
      </c>
      <c r="F25" s="95">
        <f>Assumptions!C54</f>
        <v>8000</v>
      </c>
      <c r="G25" s="95">
        <f>Assumptions!D54</f>
        <v>3000</v>
      </c>
      <c r="H25" s="95">
        <f>Assumptions!E54</f>
        <v>0</v>
      </c>
      <c r="I25" s="95">
        <f>Assumptions!F54</f>
        <v>-2000</v>
      </c>
      <c r="J25" s="49" t="e">
        <f>Debt Proceeds - Repayments</f>
        <v>#NAME?</v>
      </c>
    </row>
    <row r="26" spans="1:10" ht="15">
      <c r="A26" s="7" t="s">
        <v>439</v>
      </c>
      <c r="B26" s="94">
        <f>Raw_Info!B74</f>
        <v>437</v>
      </c>
      <c r="C26" s="94">
        <f>Raw_Info!C74</f>
        <v>1175</v>
      </c>
      <c r="D26" s="94">
        <f>Raw_Info!D74</f>
        <v>1511</v>
      </c>
      <c r="E26" s="95">
        <f>Assumptions!B49</f>
        <v>3000</v>
      </c>
      <c r="F26" s="95">
        <f>Assumptions!C49</f>
        <v>4000</v>
      </c>
      <c r="G26" s="95">
        <f>Assumptions!D49</f>
        <v>2000</v>
      </c>
      <c r="H26" s="95">
        <f>Assumptions!E49</f>
        <v>1000</v>
      </c>
      <c r="I26" s="95">
        <f>Assumptions!F49</f>
        <v>500</v>
      </c>
      <c r="J26" s="49" t="s">
        <v>440</v>
      </c>
    </row>
    <row r="27" spans="1:10" ht="15">
      <c r="A27" s="7" t="s">
        <v>441</v>
      </c>
      <c r="B27" s="94">
        <f>Raw_Info!B75</f>
        <v>-63</v>
      </c>
      <c r="C27" s="94">
        <f>Raw_Info!C75</f>
        <v>-140</v>
      </c>
      <c r="D27" s="94">
        <f>Raw_Info!D75</f>
        <v>-633</v>
      </c>
      <c r="E27" s="95">
        <f>Assumptions!B55</f>
        <v>-700</v>
      </c>
      <c r="F27" s="95">
        <f>Assumptions!C55</f>
        <v>-800</v>
      </c>
      <c r="G27" s="95">
        <f>Assumptions!D55</f>
        <v>-900</v>
      </c>
      <c r="H27" s="95">
        <f>Assumptions!E55</f>
        <v>-900</v>
      </c>
      <c r="I27" s="95">
        <f>Assumptions!F55</f>
        <v>-900</v>
      </c>
      <c r="J27" s="49" t="s">
        <v>442</v>
      </c>
    </row>
    <row r="28" spans="1:10" ht="15">
      <c r="A28" s="68" t="s">
        <v>443</v>
      </c>
      <c r="B28" s="86">
        <f>Raw_Info!B76</f>
        <v>1788</v>
      </c>
      <c r="C28" s="86">
        <f>Raw_Info!C76</f>
        <v>7464</v>
      </c>
      <c r="D28" s="86">
        <f>Raw_Info!D76</f>
        <v>9308</v>
      </c>
      <c r="E28" s="87">
        <f>E25+E26+E27</f>
        <v>14300</v>
      </c>
      <c r="F28" s="87">
        <f>F25+F26+F27</f>
        <v>11200</v>
      </c>
      <c r="G28" s="87">
        <f>G25+G26+G27</f>
        <v>4100</v>
      </c>
      <c r="H28" s="87">
        <f>H25+H26+H27</f>
        <v>100</v>
      </c>
      <c r="I28" s="87">
        <f>I25+I26+I27</f>
        <v>-2400</v>
      </c>
      <c r="J28" s="88" t="e">
        <f>Net Debt + Equity Issuance + Other</f>
        <v>#NAME?</v>
      </c>
    </row>
    <row r="30" spans="1:10" ht="15">
      <c r="A30" s="46" t="s">
        <v>444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 ht="15">
      <c r="A31" s="68" t="s">
        <v>445</v>
      </c>
      <c r="B31" s="86">
        <f>Raw_Info!B77</f>
        <v>473</v>
      </c>
      <c r="C31" s="86">
        <f>Raw_Info!C77</f>
        <v>1555</v>
      </c>
      <c r="D31" s="86">
        <f>Raw_Info!D77</f>
        <v>2095</v>
      </c>
      <c r="E31" s="87">
        <f>E16+E22+E28</f>
        <v>3780.9578082191729</v>
      </c>
      <c r="F31" s="87">
        <f>F16+F22+F28</f>
        <v>-2853.4504328766998</v>
      </c>
      <c r="G31" s="87">
        <f>G16+G22+G28</f>
        <v>-1544.31275857535</v>
      </c>
      <c r="H31" s="87">
        <f>H16+H22+H28</f>
        <v>1429.6812869369787</v>
      </c>
      <c r="I31" s="87">
        <f>I16+I22+I28</f>
        <v>1249.4582034854811</v>
      </c>
      <c r="J31" s="88" t="e">
        <f>CFO + CFI + CFF</f>
        <v>#NAME?</v>
      </c>
    </row>
    <row r="32" spans="1:10" ht="15">
      <c r="A32" s="7" t="s">
        <v>446</v>
      </c>
      <c r="B32" s="94">
        <f>Raw_Info!B78</f>
        <v>7</v>
      </c>
      <c r="C32" s="94">
        <f>Raw_Info!C78</f>
        <v>480</v>
      </c>
      <c r="D32" s="94">
        <f>Raw_Info!D78</f>
        <v>2035</v>
      </c>
      <c r="E32" s="95">
        <f>BS!C5</f>
        <v>3980</v>
      </c>
      <c r="F32" s="95">
        <f>BS!D5</f>
        <v>7760.9578082191729</v>
      </c>
      <c r="G32" s="95">
        <f>BS!E5</f>
        <v>4907.5073753424731</v>
      </c>
      <c r="H32" s="95">
        <f>BS!F5</f>
        <v>3363.1946167671231</v>
      </c>
      <c r="I32" s="95">
        <f>BS!G5</f>
        <v>4792.8759037041018</v>
      </c>
      <c r="J32" s="49" t="e">
        <f>Prior year BS Cash</f>
        <v>#NAME?</v>
      </c>
    </row>
    <row r="33" spans="1:10" ht="15">
      <c r="A33" s="68" t="s">
        <v>447</v>
      </c>
      <c r="B33" s="86">
        <f>Raw_Info!B79</f>
        <v>480</v>
      </c>
      <c r="C33" s="86">
        <f>Raw_Info!C79</f>
        <v>2035</v>
      </c>
      <c r="D33" s="86">
        <f>Raw_Info!D79</f>
        <v>4130</v>
      </c>
      <c r="E33" s="87">
        <f>E32+E31</f>
        <v>7760.9578082191729</v>
      </c>
      <c r="F33" s="87">
        <f>F32+F31</f>
        <v>4907.5073753424731</v>
      </c>
      <c r="G33" s="87">
        <f>G32+G31</f>
        <v>3363.1946167671231</v>
      </c>
      <c r="H33" s="87">
        <f>H32+H31</f>
        <v>4792.8759037041018</v>
      </c>
      <c r="I33" s="87">
        <f>I32+I31</f>
        <v>6042.3341071895829</v>
      </c>
      <c r="J33" s="88" t="s">
        <v>448</v>
      </c>
    </row>
    <row r="35" spans="1:10" ht="15">
      <c r="A35" s="92" t="s">
        <v>449</v>
      </c>
      <c r="B35" s="52">
        <f>0</f>
        <v>0</v>
      </c>
      <c r="C35" s="52">
        <f>C33-BS!B5</f>
        <v>637</v>
      </c>
      <c r="D35" s="52">
        <f>D33-BS!C5</f>
        <v>150</v>
      </c>
      <c r="E35" s="52">
        <f>E33-BS!D5</f>
        <v>0</v>
      </c>
      <c r="F35" s="52">
        <f>F33-BS!E5</f>
        <v>0</v>
      </c>
      <c r="G35" s="52">
        <f>G33-BS!F5</f>
        <v>0</v>
      </c>
      <c r="H35" s="52">
        <f>H33-BS!G5</f>
        <v>0</v>
      </c>
      <c r="I35" s="52">
        <f>I33-BS!H5</f>
        <v>0</v>
      </c>
      <c r="J35" s="93" t="s">
        <v>450</v>
      </c>
    </row>
    <row r="37" spans="1:10" ht="15">
      <c r="A37" s="46" t="s">
        <v>451</v>
      </c>
      <c r="B37" s="2"/>
      <c r="C37" s="2"/>
      <c r="D37" s="2"/>
      <c r="E37" s="2"/>
      <c r="F37" s="2"/>
      <c r="G37" s="2"/>
      <c r="H37" s="2"/>
      <c r="I37" s="2"/>
      <c r="J37" s="2"/>
    </row>
    <row r="38" spans="1:10" ht="15">
      <c r="A38" s="68" t="s">
        <v>452</v>
      </c>
      <c r="B38" s="86">
        <f t="shared" ref="B38:I38" si="0">B16+B19</f>
        <v>-1110</v>
      </c>
      <c r="C38" s="86">
        <f t="shared" si="0"/>
        <v>-5953</v>
      </c>
      <c r="D38" s="86">
        <f t="shared" si="0"/>
        <v>-7251</v>
      </c>
      <c r="E38" s="87">
        <f t="shared" si="0"/>
        <v>-10519.042191780827</v>
      </c>
      <c r="F38" s="87">
        <f t="shared" si="0"/>
        <v>-14053.4504328767</v>
      </c>
      <c r="G38" s="87">
        <f t="shared" si="0"/>
        <v>-5644.31275857535</v>
      </c>
      <c r="H38" s="87">
        <f t="shared" si="0"/>
        <v>1329.6812869369787</v>
      </c>
      <c r="I38" s="87">
        <f t="shared" si="0"/>
        <v>3649.4582034854811</v>
      </c>
      <c r="J38" s="88"/>
    </row>
  </sheetData>
  <mergeCells count="2">
    <mergeCell ref="A1:J1"/>
    <mergeCell ref="A2:J2"/>
  </mergeCells>
  <phoneticPr fontId="2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5496"/>
  </sheetPr>
  <dimension ref="A1:G39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35" customWidth="1"/>
    <col min="2" max="7" width="14" customWidth="1"/>
  </cols>
  <sheetData>
    <row r="1" spans="1:7" ht="15">
      <c r="A1" s="5" t="s">
        <v>453</v>
      </c>
    </row>
    <row r="2" spans="1:7" ht="15">
      <c r="A2" s="6" t="s">
        <v>306</v>
      </c>
    </row>
    <row r="3" spans="1:7" ht="15">
      <c r="A3" s="7"/>
      <c r="B3" s="8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22</v>
      </c>
    </row>
    <row r="4" spans="1:7" ht="15">
      <c r="A4" s="10" t="s">
        <v>454</v>
      </c>
      <c r="B4" s="11"/>
      <c r="C4" s="11"/>
      <c r="D4" s="11"/>
      <c r="E4" s="11"/>
      <c r="F4" s="11"/>
      <c r="G4" s="11"/>
    </row>
    <row r="5" spans="1:7" ht="15">
      <c r="A5" s="7" t="s">
        <v>455</v>
      </c>
      <c r="B5" s="12">
        <f>IS!D22</f>
        <v>-46</v>
      </c>
      <c r="C5" s="13">
        <f>IS!E22</f>
        <v>2125</v>
      </c>
      <c r="D5" s="13">
        <f>IS!F22</f>
        <v>5000</v>
      </c>
      <c r="E5" s="13">
        <f>IS!G22</f>
        <v>6050</v>
      </c>
      <c r="F5" s="13">
        <f>IS!H22</f>
        <v>6960</v>
      </c>
      <c r="G5" s="13">
        <f>IS!I22</f>
        <v>7250</v>
      </c>
    </row>
    <row r="6" spans="1:7" ht="15">
      <c r="A6" s="7" t="s">
        <v>456</v>
      </c>
      <c r="B6" s="14">
        <f>IS!D31</f>
        <v>3.9506172839506172E-2</v>
      </c>
      <c r="C6" s="15">
        <f>IS!E31</f>
        <v>-0.04</v>
      </c>
      <c r="D6" s="15">
        <f>IS!F31</f>
        <v>0.05</v>
      </c>
      <c r="E6" s="15">
        <f>IS!G31</f>
        <v>0.1</v>
      </c>
      <c r="F6" s="15">
        <f>IS!H31</f>
        <v>0.15</v>
      </c>
      <c r="G6" s="15">
        <f>IS!I31</f>
        <v>0.18</v>
      </c>
    </row>
    <row r="7" spans="1:7" ht="15">
      <c r="A7" s="10" t="s">
        <v>457</v>
      </c>
      <c r="B7" s="16">
        <f t="shared" ref="B7:G7" si="0">B5*(1-B6)</f>
        <v>-44.182716049382712</v>
      </c>
      <c r="C7" s="17">
        <f t="shared" si="0"/>
        <v>2210</v>
      </c>
      <c r="D7" s="17">
        <f t="shared" si="0"/>
        <v>4750</v>
      </c>
      <c r="E7" s="17">
        <f t="shared" si="0"/>
        <v>5445</v>
      </c>
      <c r="F7" s="17">
        <f t="shared" si="0"/>
        <v>5916</v>
      </c>
      <c r="G7" s="17">
        <f t="shared" si="0"/>
        <v>5945</v>
      </c>
    </row>
    <row r="9" spans="1:7" ht="15">
      <c r="A9" s="10" t="s">
        <v>458</v>
      </c>
      <c r="B9" s="11"/>
      <c r="C9" s="11"/>
      <c r="D9" s="11"/>
      <c r="E9" s="11"/>
      <c r="F9" s="11"/>
      <c r="G9" s="11"/>
    </row>
    <row r="10" spans="1:7" ht="15">
      <c r="A10" s="7" t="s">
        <v>459</v>
      </c>
      <c r="B10" s="12">
        <f>BS!C8-BS!C5</f>
        <v>3508</v>
      </c>
      <c r="C10" s="13">
        <f>BS!D8-BS!D5</f>
        <v>3410.9589041095896</v>
      </c>
      <c r="D10" s="13">
        <f>BS!E8-BS!E5</f>
        <v>4709.5890410958891</v>
      </c>
      <c r="E10" s="13">
        <f>BS!F8-BS!F5</f>
        <v>4869.1780821917819</v>
      </c>
      <c r="F10" s="13">
        <f>BS!G8-BS!G5</f>
        <v>4973.9726027397264</v>
      </c>
      <c r="G10" s="13">
        <f>BS!H8-BS!H5</f>
        <v>5152.054794520549</v>
      </c>
    </row>
    <row r="11" spans="1:7" ht="15">
      <c r="A11" s="7" t="s">
        <v>460</v>
      </c>
      <c r="B11" s="12">
        <f>BS!C26-BS!C23</f>
        <v>9732</v>
      </c>
      <c r="C11" s="13">
        <f>BS!D26-BS!D23</f>
        <v>11032.876712328769</v>
      </c>
      <c r="D11" s="13">
        <f>BS!E26-BS!E23</f>
        <v>12543.835616438359</v>
      </c>
      <c r="E11" s="13">
        <f>BS!F26-BS!F23</f>
        <v>13385.890410958906</v>
      </c>
      <c r="F11" s="13">
        <f>BS!G26-BS!G23</f>
        <v>14044.383561643837</v>
      </c>
      <c r="G11" s="13">
        <f>BS!H26-BS!H23</f>
        <v>14363.013698630137</v>
      </c>
    </row>
    <row r="12" spans="1:7" ht="15">
      <c r="A12" s="7" t="s">
        <v>461</v>
      </c>
      <c r="B12" s="12">
        <f t="shared" ref="B12:G12" si="1">B10-B11</f>
        <v>-6224</v>
      </c>
      <c r="C12" s="13">
        <f t="shared" si="1"/>
        <v>-7621.9178082191793</v>
      </c>
      <c r="D12" s="13">
        <f t="shared" si="1"/>
        <v>-7834.2465753424694</v>
      </c>
      <c r="E12" s="13">
        <f t="shared" si="1"/>
        <v>-8516.7123287671238</v>
      </c>
      <c r="F12" s="13">
        <f t="shared" si="1"/>
        <v>-9070.4109589041109</v>
      </c>
      <c r="G12" s="13">
        <f t="shared" si="1"/>
        <v>-9210.9589041095878</v>
      </c>
    </row>
    <row r="13" spans="1:7" ht="15">
      <c r="A13" s="7" t="s">
        <v>462</v>
      </c>
      <c r="B13" s="12">
        <f>BS!C16</f>
        <v>41814</v>
      </c>
      <c r="C13" s="13">
        <f>BS!D16</f>
        <v>60241.16</v>
      </c>
      <c r="D13" s="13">
        <f>BS!E16</f>
        <v>74325.439199999993</v>
      </c>
      <c r="E13" s="13">
        <f>BS!F16</f>
        <v>82274.217711999998</v>
      </c>
      <c r="F13" s="13">
        <f>BS!G16</f>
        <v>85019.735055199999</v>
      </c>
      <c r="G13" s="13">
        <f>BS!H16</f>
        <v>84840.424796920008</v>
      </c>
    </row>
    <row r="14" spans="1:7" ht="15">
      <c r="A14" s="10" t="s">
        <v>463</v>
      </c>
      <c r="B14" s="16">
        <f t="shared" ref="B14:G14" si="2">B12+B13</f>
        <v>35590</v>
      </c>
      <c r="C14" s="17">
        <f t="shared" si="2"/>
        <v>52619.242191780824</v>
      </c>
      <c r="D14" s="17">
        <f t="shared" si="2"/>
        <v>66491.192624657531</v>
      </c>
      <c r="E14" s="17">
        <f t="shared" si="2"/>
        <v>73757.50538323287</v>
      </c>
      <c r="F14" s="17">
        <f t="shared" si="2"/>
        <v>75949.324096295895</v>
      </c>
      <c r="G14" s="17">
        <f t="shared" si="2"/>
        <v>75629.465892810418</v>
      </c>
    </row>
    <row r="15" spans="1:7" ht="15">
      <c r="A15" s="7" t="s">
        <v>464</v>
      </c>
      <c r="B15" s="12">
        <f>(B14+(BS!B8-BS!B5-(BS!B26-BS!B23)+BS!B16))/2</f>
        <v>24765</v>
      </c>
      <c r="C15" s="13">
        <f>(C14+B14)/2</f>
        <v>44104.621095890412</v>
      </c>
      <c r="D15" s="13">
        <f>(D14+C14)/2</f>
        <v>59555.217408219178</v>
      </c>
      <c r="E15" s="13">
        <f>(E14+D14)/2</f>
        <v>70124.349003945201</v>
      </c>
      <c r="F15" s="13">
        <f>(F14+E14)/2</f>
        <v>74853.414739764383</v>
      </c>
      <c r="G15" s="13">
        <f>(G14+F14)/2</f>
        <v>75789.394994553149</v>
      </c>
    </row>
    <row r="16" spans="1:7" ht="15">
      <c r="A16" s="18" t="s">
        <v>43</v>
      </c>
      <c r="B16" s="19">
        <f t="shared" ref="B16:G16" si="3">IF(B15=0,0,B7/B15)</f>
        <v>-1.7840789844289406E-3</v>
      </c>
      <c r="C16" s="19">
        <f t="shared" si="3"/>
        <v>5.0108128016679042E-2</v>
      </c>
      <c r="D16" s="19">
        <f t="shared" si="3"/>
        <v>7.9757915539813901E-2</v>
      </c>
      <c r="E16" s="19">
        <f t="shared" si="3"/>
        <v>7.764777965630261E-2</v>
      </c>
      <c r="F16" s="19">
        <f t="shared" si="3"/>
        <v>7.9034470512368532E-2</v>
      </c>
      <c r="G16" s="19">
        <f t="shared" si="3"/>
        <v>7.8441053664925764E-2</v>
      </c>
    </row>
    <row r="18" spans="1:7" ht="15">
      <c r="A18" s="10" t="s">
        <v>465</v>
      </c>
      <c r="B18" s="11"/>
      <c r="C18" s="11"/>
      <c r="D18" s="11"/>
      <c r="E18" s="11"/>
      <c r="F18" s="11"/>
      <c r="G18" s="11"/>
    </row>
    <row r="19" spans="1:7" ht="15">
      <c r="A19" s="7" t="s">
        <v>466</v>
      </c>
      <c r="B19" s="12">
        <f>IS!D37</f>
        <v>-1167</v>
      </c>
      <c r="C19" s="13">
        <f>IS!E37</f>
        <v>-254.8</v>
      </c>
      <c r="D19" s="13">
        <f>IS!F37</f>
        <v>2118.5</v>
      </c>
      <c r="E19" s="13">
        <f>IS!G37</f>
        <v>3222</v>
      </c>
      <c r="F19" s="13">
        <f>IS!H37</f>
        <v>4071.5</v>
      </c>
      <c r="G19" s="13">
        <f>IS!I37</f>
        <v>4329.6000000000004</v>
      </c>
    </row>
    <row r="20" spans="1:7" ht="15">
      <c r="A20" s="7" t="s">
        <v>467</v>
      </c>
      <c r="B20" s="12">
        <f>(BS!C42+BS!B42)/2</f>
        <v>2321.5</v>
      </c>
      <c r="C20" s="13">
        <f>(BS!D42+BS!C42)/2</f>
        <v>5107.6000000000004</v>
      </c>
      <c r="D20" s="13">
        <f>(BS!E42+BS!D42)/2</f>
        <v>10389.450000000001</v>
      </c>
      <c r="E20" s="13">
        <f>(BS!F42+BS!E42)/2</f>
        <v>17009.7</v>
      </c>
      <c r="F20" s="13">
        <f>(BS!G42+BS!F42)/2</f>
        <v>23181.45</v>
      </c>
      <c r="G20" s="13">
        <f>(BS!H42+BS!G42)/2</f>
        <v>29207</v>
      </c>
    </row>
    <row r="21" spans="1:7" ht="15">
      <c r="A21" s="18" t="s">
        <v>44</v>
      </c>
      <c r="B21" s="19">
        <f t="shared" ref="B21:G21" si="4">IF(B20=0,0,B19/B20)</f>
        <v>-0.50269222485461984</v>
      </c>
      <c r="C21" s="19">
        <f t="shared" si="4"/>
        <v>-4.98864437309108E-2</v>
      </c>
      <c r="D21" s="19">
        <f t="shared" si="4"/>
        <v>0.20390877284168074</v>
      </c>
      <c r="E21" s="19">
        <f t="shared" si="4"/>
        <v>0.18942133018219015</v>
      </c>
      <c r="F21" s="19">
        <f t="shared" si="4"/>
        <v>0.17563612284822563</v>
      </c>
      <c r="G21" s="19">
        <f t="shared" si="4"/>
        <v>0.14823843599137193</v>
      </c>
    </row>
    <row r="23" spans="1:7" ht="15">
      <c r="A23" s="10" t="s">
        <v>468</v>
      </c>
      <c r="B23" s="11"/>
      <c r="C23" s="11"/>
      <c r="D23" s="11"/>
      <c r="E23" s="11"/>
      <c r="F23" s="11"/>
      <c r="G23" s="11"/>
    </row>
    <row r="24" spans="1:7" ht="15">
      <c r="A24" s="7" t="s">
        <v>469</v>
      </c>
      <c r="B24" s="12">
        <f>IS!D34</f>
        <v>-1167</v>
      </c>
      <c r="C24" s="13">
        <f>IS!E34</f>
        <v>-254.8</v>
      </c>
      <c r="D24" s="13">
        <f>IS!F34</f>
        <v>2118.5</v>
      </c>
      <c r="E24" s="13">
        <f>IS!G34</f>
        <v>3222</v>
      </c>
      <c r="F24" s="13">
        <f>IS!H34</f>
        <v>4071.5</v>
      </c>
      <c r="G24" s="13">
        <f>IS!I34</f>
        <v>4329.6000000000004</v>
      </c>
    </row>
    <row r="25" spans="1:7" ht="15">
      <c r="A25" s="7" t="s">
        <v>470</v>
      </c>
      <c r="B25" s="12">
        <f>(BS!C18+BS!B18)/2</f>
        <v>33567.5</v>
      </c>
      <c r="C25" s="13">
        <f>(BS!D18+BS!C18)/2</f>
        <v>60357.538356164383</v>
      </c>
      <c r="D25" s="13">
        <f>(BS!E18+BS!D18)/2</f>
        <v>77677.806164383568</v>
      </c>
      <c r="E25" s="13">
        <f>(BS!F18+BS!E18)/2</f>
        <v>87224.563013698629</v>
      </c>
      <c r="F25" s="13">
        <f>(BS!G18+BS!F18)/2</f>
        <v>92646.586986301365</v>
      </c>
      <c r="G25" s="13">
        <f>(BS!H18+BS!G18)/2</f>
        <v>95410.698630136991</v>
      </c>
    </row>
    <row r="26" spans="1:7" ht="15">
      <c r="A26" s="18" t="s">
        <v>45</v>
      </c>
      <c r="B26" s="19">
        <f t="shared" ref="B26:G26" si="5">IF(B25=0,0,B24/B25)</f>
        <v>-3.4765770462500928E-2</v>
      </c>
      <c r="C26" s="19">
        <f t="shared" si="5"/>
        <v>-4.2215107994704529E-3</v>
      </c>
      <c r="D26" s="19">
        <f t="shared" si="5"/>
        <v>2.7272912362081667E-2</v>
      </c>
      <c r="E26" s="19">
        <f t="shared" si="5"/>
        <v>3.6939136049256957E-2</v>
      </c>
      <c r="F26" s="19">
        <f t="shared" si="5"/>
        <v>4.3946573019489732E-2</v>
      </c>
      <c r="G26" s="19">
        <f t="shared" si="5"/>
        <v>4.5378558821624927E-2</v>
      </c>
    </row>
    <row r="28" spans="1:7" ht="15">
      <c r="A28" s="10" t="s">
        <v>471</v>
      </c>
      <c r="B28" s="11"/>
      <c r="C28" s="11"/>
      <c r="D28" s="11"/>
      <c r="E28" s="11"/>
      <c r="F28" s="11"/>
      <c r="G28" s="11"/>
    </row>
    <row r="29" spans="1:7" ht="15">
      <c r="A29" s="7" t="s">
        <v>472</v>
      </c>
      <c r="B29" s="14">
        <f>IF(IS!D5=0,0,IS!D37/IS!D5)</f>
        <v>-0.22744104463067627</v>
      </c>
      <c r="C29" s="15">
        <f>IF(IS!E5=0,0,IS!E37/IS!E5)</f>
        <v>-2.0383999999999999E-2</v>
      </c>
      <c r="D29" s="15">
        <f>IF(IS!F5=0,0,IS!F37/IS!F5)</f>
        <v>0.10592500000000001</v>
      </c>
      <c r="E29" s="15">
        <f>IF(IS!G5=0,0,IS!G37/IS!G5)</f>
        <v>0.14645454545454545</v>
      </c>
      <c r="F29" s="15">
        <f>IF(IS!H5=0,0,IS!H37/IS!H5)</f>
        <v>0.16964583333333333</v>
      </c>
      <c r="G29" s="15">
        <f>IF(IS!I5=0,0,IS!I37/IS!I5)</f>
        <v>0.173184</v>
      </c>
    </row>
    <row r="30" spans="1:7" ht="15">
      <c r="A30" s="7" t="s">
        <v>473</v>
      </c>
      <c r="B30" s="20">
        <f>IF(B25=0,0,IS!D5/B25)</f>
        <v>0.15285618529827957</v>
      </c>
      <c r="C30" s="21">
        <f>IF(C25=0,0,IS!E5/C25)</f>
        <v>0.20709923466789895</v>
      </c>
      <c r="D30" s="21">
        <f>IF(D25=0,0,IS!F5/D25)</f>
        <v>0.25747380091651323</v>
      </c>
      <c r="E30" s="21">
        <f>IF(E25=0,0,IS!G5/E25)</f>
        <v>0.25222253044185383</v>
      </c>
      <c r="F30" s="21">
        <f>IF(F25=0,0,IS!H5/F25)</f>
        <v>0.25904893834403869</v>
      </c>
      <c r="G30" s="21">
        <f>IF(G25=0,0,IS!I5/G25)</f>
        <v>0.26202512253802268</v>
      </c>
    </row>
    <row r="31" spans="1:7" ht="15">
      <c r="A31" s="7" t="s">
        <v>474</v>
      </c>
      <c r="B31" s="20">
        <f t="shared" ref="B31:G31" si="6">IF(B20=0,0,B25/B20)</f>
        <v>14.459401249192332</v>
      </c>
      <c r="C31" s="21">
        <f t="shared" si="6"/>
        <v>11.817201495059201</v>
      </c>
      <c r="D31" s="21">
        <f t="shared" si="6"/>
        <v>7.4766042634002341</v>
      </c>
      <c r="E31" s="21">
        <f t="shared" si="6"/>
        <v>5.1279307109295651</v>
      </c>
      <c r="F31" s="21">
        <f t="shared" si="6"/>
        <v>3.9965829137651596</v>
      </c>
      <c r="G31" s="21">
        <f t="shared" si="6"/>
        <v>3.2667065645268938</v>
      </c>
    </row>
    <row r="32" spans="1:7" ht="15">
      <c r="A32" s="10" t="s">
        <v>475</v>
      </c>
      <c r="B32" s="22">
        <f t="shared" ref="B32:G32" si="7">B29*B30*B31</f>
        <v>-0.50269222485461984</v>
      </c>
      <c r="C32" s="23">
        <f t="shared" si="7"/>
        <v>-4.9886443730910793E-2</v>
      </c>
      <c r="D32" s="23">
        <f t="shared" si="7"/>
        <v>0.20390877284168074</v>
      </c>
      <c r="E32" s="23">
        <f t="shared" si="7"/>
        <v>0.18942133018219015</v>
      </c>
      <c r="F32" s="23">
        <f t="shared" si="7"/>
        <v>0.17563612284822563</v>
      </c>
      <c r="G32" s="23">
        <f t="shared" si="7"/>
        <v>0.1482384359913719</v>
      </c>
    </row>
    <row r="33" spans="1:7" ht="15">
      <c r="A33" s="7" t="s">
        <v>476</v>
      </c>
      <c r="B33" s="24">
        <f t="shared" ref="B33:G33" si="8">B32-B21</f>
        <v>0</v>
      </c>
      <c r="C33" s="24">
        <f t="shared" si="8"/>
        <v>0</v>
      </c>
      <c r="D33" s="24">
        <f t="shared" si="8"/>
        <v>0</v>
      </c>
      <c r="E33" s="24">
        <f t="shared" si="8"/>
        <v>0</v>
      </c>
      <c r="F33" s="24">
        <f t="shared" si="8"/>
        <v>0</v>
      </c>
      <c r="G33" s="24">
        <f t="shared" si="8"/>
        <v>0</v>
      </c>
    </row>
    <row r="35" spans="1:7" ht="15">
      <c r="A35" s="10" t="s">
        <v>477</v>
      </c>
      <c r="B35" s="11"/>
      <c r="C35" s="11"/>
      <c r="D35" s="11"/>
      <c r="E35" s="11"/>
      <c r="F35" s="11"/>
      <c r="G35" s="11"/>
    </row>
    <row r="36" spans="1:7" ht="15">
      <c r="A36" s="7" t="s">
        <v>478</v>
      </c>
      <c r="B36" s="12">
        <f>BS!C23+BS!C29-BS!C5</f>
        <v>17393</v>
      </c>
      <c r="C36" s="13">
        <f>BS!D23+BS!D29-BS!D5</f>
        <v>27239.042191780827</v>
      </c>
      <c r="D36" s="13">
        <f>BS!E23+BS!E29-BS!E5</f>
        <v>30092.492624657527</v>
      </c>
      <c r="E36" s="13">
        <f>BS!F23+BS!F29-BS!F5</f>
        <v>29136.805383232877</v>
      </c>
      <c r="F36" s="13">
        <f>BS!G23+BS!G29-BS!G5</f>
        <v>24207.124096295898</v>
      </c>
      <c r="G36" s="13">
        <f>BS!H23+BS!H29-BS!H5</f>
        <v>19457.665892810415</v>
      </c>
    </row>
    <row r="37" spans="1:7" ht="15">
      <c r="A37" s="7" t="s">
        <v>46</v>
      </c>
      <c r="B37" s="20">
        <f>IF(IS!D43=0,0,B36/IS!D43)</f>
        <v>5.725148123765635</v>
      </c>
      <c r="C37" s="21">
        <f>IF(IS!E43=0,0,C36/IS!E43)</f>
        <v>3.6685578709469127</v>
      </c>
      <c r="D37" s="21">
        <f>IF(IS!F43=0,0,D36/IS!F43)</f>
        <v>2.5720079166373955</v>
      </c>
      <c r="E37" s="21">
        <f>IF(IS!G43=0,0,E36/IS!G43)</f>
        <v>2.1503177404599909</v>
      </c>
      <c r="F37" s="21">
        <f>IF(IS!H43=0,0,F36/IS!H43)</f>
        <v>1.6345120929301755</v>
      </c>
      <c r="G37" s="21">
        <f>IF(IS!I43=0,0,G36/IS!I43)</f>
        <v>1.267600383896444</v>
      </c>
    </row>
    <row r="38" spans="1:7" ht="15">
      <c r="A38" s="7" t="s">
        <v>479</v>
      </c>
      <c r="B38" s="20">
        <f>IF(IS!D27=0,0,IS!D22/(-IS!D27))</f>
        <v>-3.7428803905614323E-2</v>
      </c>
      <c r="C38" s="21">
        <f>IF(IS!E27=0,0,IS!E22/(-IS!E27))</f>
        <v>0.88541666666666663</v>
      </c>
      <c r="D38" s="21">
        <f>IF(IS!F27=0,0,IS!F22/(-IS!F27))</f>
        <v>1.7857142857142858</v>
      </c>
      <c r="E38" s="21">
        <f>IF(IS!G27=0,0,IS!G22/(-IS!G27))</f>
        <v>2.42</v>
      </c>
      <c r="F38" s="21">
        <f>IF(IS!H27=0,0,IS!H22/(-IS!H27))</f>
        <v>3.1636363636363636</v>
      </c>
      <c r="G38" s="21">
        <f>IF(IS!I27=0,0,IS!I22/(-IS!I27))</f>
        <v>3.625</v>
      </c>
    </row>
    <row r="39" spans="1:7" ht="15">
      <c r="A39" s="7" t="s">
        <v>480</v>
      </c>
      <c r="B39" s="12">
        <f>CF!D38</f>
        <v>-7251</v>
      </c>
      <c r="C39" s="13">
        <f>CF!E38</f>
        <v>-10519.042191780827</v>
      </c>
      <c r="D39" s="13">
        <f>CF!F38</f>
        <v>-14053.4504328767</v>
      </c>
      <c r="E39" s="13">
        <f>CF!G38</f>
        <v>-5644.31275857535</v>
      </c>
      <c r="F39" s="13">
        <f>CF!H38</f>
        <v>1329.6812869369787</v>
      </c>
      <c r="G39" s="13">
        <f>CF!I38</f>
        <v>3649.4582034854811</v>
      </c>
    </row>
  </sheetData>
  <phoneticPr fontId="2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5496"/>
  </sheetPr>
  <dimension ref="A1:I5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40" customWidth="1"/>
    <col min="2" max="2" width="12" customWidth="1"/>
    <col min="3" max="3" width="25" customWidth="1"/>
    <col min="4" max="4" width="18" customWidth="1"/>
    <col min="5" max="6" width="25" customWidth="1"/>
    <col min="7" max="8" width="10" customWidth="1"/>
    <col min="9" max="9" width="40" customWidth="1"/>
  </cols>
  <sheetData>
    <row r="1" spans="1:8" ht="15">
      <c r="A1" s="5" t="s">
        <v>481</v>
      </c>
    </row>
    <row r="2" spans="1:8" ht="15">
      <c r="A2" s="6" t="s">
        <v>482</v>
      </c>
    </row>
    <row r="3" spans="1:8" ht="15">
      <c r="A3" s="6" t="s">
        <v>483</v>
      </c>
    </row>
    <row r="5" spans="1:8" ht="15">
      <c r="A5" s="10" t="s">
        <v>484</v>
      </c>
      <c r="B5" s="11"/>
      <c r="C5" s="11"/>
      <c r="D5" s="11"/>
      <c r="E5" s="11"/>
      <c r="F5" s="11"/>
      <c r="G5" s="11"/>
      <c r="H5" s="11"/>
    </row>
    <row r="6" spans="1:8" ht="15">
      <c r="A6" s="8" t="s">
        <v>14</v>
      </c>
      <c r="B6" s="8" t="s">
        <v>485</v>
      </c>
      <c r="C6" s="8" t="s">
        <v>486</v>
      </c>
      <c r="D6" s="8" t="s">
        <v>487</v>
      </c>
      <c r="E6" s="8" t="s">
        <v>488</v>
      </c>
      <c r="F6" s="8" t="s">
        <v>489</v>
      </c>
      <c r="G6" s="8" t="s">
        <v>490</v>
      </c>
      <c r="H6" s="8" t="s">
        <v>79</v>
      </c>
    </row>
    <row r="7" spans="1:8" ht="15">
      <c r="A7" s="7" t="s">
        <v>491</v>
      </c>
      <c r="B7" s="25" t="s">
        <v>15</v>
      </c>
      <c r="C7" s="12">
        <v>229</v>
      </c>
      <c r="D7" s="12">
        <v>229</v>
      </c>
      <c r="E7" s="12">
        <v>229</v>
      </c>
      <c r="F7" s="14">
        <v>0</v>
      </c>
      <c r="G7" s="26" t="s">
        <v>492</v>
      </c>
      <c r="H7" s="6" t="s">
        <v>493</v>
      </c>
    </row>
    <row r="8" spans="1:8" ht="15">
      <c r="A8" s="7" t="s">
        <v>491</v>
      </c>
      <c r="B8" s="25" t="s">
        <v>16</v>
      </c>
      <c r="C8" s="12">
        <v>1915</v>
      </c>
      <c r="D8" s="12">
        <v>1915</v>
      </c>
      <c r="E8" s="12">
        <v>1915</v>
      </c>
      <c r="F8" s="14">
        <v>0</v>
      </c>
      <c r="G8" s="26" t="s">
        <v>492</v>
      </c>
      <c r="H8" s="6" t="s">
        <v>493</v>
      </c>
    </row>
    <row r="9" spans="1:8" ht="15">
      <c r="A9" s="7" t="s">
        <v>491</v>
      </c>
      <c r="B9" s="25" t="s">
        <v>17</v>
      </c>
      <c r="C9" s="12">
        <v>5131</v>
      </c>
      <c r="D9" s="12">
        <v>5131</v>
      </c>
      <c r="E9" s="12">
        <v>5131</v>
      </c>
      <c r="F9" s="14">
        <v>0</v>
      </c>
      <c r="G9" s="26" t="s">
        <v>492</v>
      </c>
      <c r="H9" s="6" t="s">
        <v>493</v>
      </c>
    </row>
    <row r="10" spans="1:8" ht="15">
      <c r="A10" s="7" t="s">
        <v>469</v>
      </c>
      <c r="B10" s="25" t="s">
        <v>15</v>
      </c>
      <c r="C10" s="12">
        <v>-594</v>
      </c>
      <c r="D10" s="12">
        <v>-594</v>
      </c>
      <c r="E10" s="12">
        <v>-594</v>
      </c>
      <c r="F10" s="14">
        <v>0</v>
      </c>
      <c r="G10" s="26" t="s">
        <v>492</v>
      </c>
      <c r="H10" s="6" t="s">
        <v>494</v>
      </c>
    </row>
    <row r="11" spans="1:8" ht="15">
      <c r="A11" s="7" t="s">
        <v>469</v>
      </c>
      <c r="B11" s="25" t="s">
        <v>16</v>
      </c>
      <c r="C11" s="12">
        <v>-863</v>
      </c>
      <c r="D11" s="12">
        <v>-863</v>
      </c>
      <c r="E11" s="12">
        <v>-863</v>
      </c>
      <c r="F11" s="14">
        <v>0</v>
      </c>
      <c r="G11" s="26" t="s">
        <v>492</v>
      </c>
      <c r="H11" s="6" t="s">
        <v>494</v>
      </c>
    </row>
    <row r="12" spans="1:8" ht="15">
      <c r="A12" s="7" t="s">
        <v>469</v>
      </c>
      <c r="B12" s="25" t="s">
        <v>17</v>
      </c>
      <c r="C12" s="12">
        <v>-1167</v>
      </c>
      <c r="D12" s="12">
        <v>-1167</v>
      </c>
      <c r="E12" s="12">
        <v>-1167</v>
      </c>
      <c r="F12" s="14">
        <v>0</v>
      </c>
      <c r="G12" s="26" t="s">
        <v>492</v>
      </c>
      <c r="H12" s="6" t="s">
        <v>494</v>
      </c>
    </row>
    <row r="13" spans="1:8" ht="15">
      <c r="A13" s="7" t="s">
        <v>316</v>
      </c>
      <c r="B13" s="25" t="s">
        <v>15</v>
      </c>
      <c r="C13" s="12">
        <v>160</v>
      </c>
      <c r="D13" s="12">
        <v>160</v>
      </c>
      <c r="E13" s="12">
        <v>160</v>
      </c>
      <c r="F13" s="14">
        <v>0</v>
      </c>
      <c r="G13" s="26" t="s">
        <v>492</v>
      </c>
      <c r="H13" s="6" t="s">
        <v>494</v>
      </c>
    </row>
    <row r="14" spans="1:8" ht="15">
      <c r="A14" s="7" t="s">
        <v>316</v>
      </c>
      <c r="B14" s="25" t="s">
        <v>16</v>
      </c>
      <c r="C14" s="12">
        <v>1422</v>
      </c>
      <c r="D14" s="12">
        <v>1422</v>
      </c>
      <c r="E14" s="12">
        <v>1422</v>
      </c>
      <c r="F14" s="14">
        <v>0</v>
      </c>
      <c r="G14" s="26" t="s">
        <v>492</v>
      </c>
      <c r="H14" s="6" t="s">
        <v>494</v>
      </c>
    </row>
    <row r="15" spans="1:8" ht="15">
      <c r="A15" s="7" t="s">
        <v>316</v>
      </c>
      <c r="B15" s="25" t="s">
        <v>17</v>
      </c>
      <c r="C15" s="12">
        <v>3678</v>
      </c>
      <c r="D15" s="12">
        <v>3678</v>
      </c>
      <c r="E15" s="12">
        <v>3678</v>
      </c>
      <c r="F15" s="14">
        <v>0</v>
      </c>
      <c r="G15" s="26" t="s">
        <v>492</v>
      </c>
      <c r="H15" s="6" t="s">
        <v>494</v>
      </c>
    </row>
    <row r="16" spans="1:8" ht="15">
      <c r="A16" s="7" t="s">
        <v>495</v>
      </c>
      <c r="B16" s="25" t="s">
        <v>16</v>
      </c>
      <c r="C16" s="12">
        <v>17833</v>
      </c>
      <c r="D16" s="12">
        <v>17833</v>
      </c>
      <c r="E16" s="12">
        <v>17833</v>
      </c>
      <c r="F16" s="14">
        <v>0</v>
      </c>
      <c r="G16" s="26" t="s">
        <v>492</v>
      </c>
      <c r="H16" s="6" t="s">
        <v>494</v>
      </c>
    </row>
    <row r="17" spans="1:9" ht="15">
      <c r="A17" s="7" t="s">
        <v>495</v>
      </c>
      <c r="B17" s="25" t="s">
        <v>17</v>
      </c>
      <c r="C17" s="12">
        <v>49302</v>
      </c>
      <c r="D17" s="12">
        <v>49302</v>
      </c>
      <c r="E17" s="12">
        <v>49302</v>
      </c>
      <c r="F17" s="14">
        <v>0</v>
      </c>
      <c r="G17" s="26" t="s">
        <v>492</v>
      </c>
      <c r="H17" s="6" t="s">
        <v>494</v>
      </c>
    </row>
    <row r="18" spans="1:9" ht="15">
      <c r="A18" s="7" t="s">
        <v>496</v>
      </c>
      <c r="B18" s="25" t="s">
        <v>17</v>
      </c>
      <c r="C18" s="12">
        <v>29822</v>
      </c>
      <c r="D18" s="12">
        <v>29822</v>
      </c>
      <c r="E18" s="12">
        <v>29822</v>
      </c>
      <c r="F18" s="14">
        <v>0</v>
      </c>
      <c r="G18" s="26" t="s">
        <v>492</v>
      </c>
      <c r="H18" s="6" t="s">
        <v>497</v>
      </c>
    </row>
    <row r="19" spans="1:9" ht="15">
      <c r="A19" s="7" t="s">
        <v>498</v>
      </c>
      <c r="B19" s="25" t="s">
        <v>17</v>
      </c>
      <c r="C19" s="12">
        <v>3335</v>
      </c>
      <c r="D19" s="12">
        <v>3335</v>
      </c>
      <c r="E19" s="12">
        <v>3335</v>
      </c>
      <c r="F19" s="14">
        <v>0</v>
      </c>
      <c r="G19" s="26" t="s">
        <v>492</v>
      </c>
      <c r="H19" s="6" t="s">
        <v>494</v>
      </c>
    </row>
    <row r="21" spans="1:9" ht="15">
      <c r="A21" s="10" t="s">
        <v>499</v>
      </c>
      <c r="B21" s="11"/>
      <c r="C21" s="11"/>
      <c r="D21" s="11"/>
      <c r="E21" s="11"/>
      <c r="F21" s="11"/>
      <c r="G21" s="11"/>
      <c r="H21" s="11"/>
      <c r="I21" s="11"/>
    </row>
    <row r="22" spans="1:9" ht="15">
      <c r="A22" s="8" t="s">
        <v>500</v>
      </c>
      <c r="B22" s="8" t="s">
        <v>501</v>
      </c>
      <c r="C22" s="8" t="s">
        <v>502</v>
      </c>
      <c r="D22" s="8" t="s">
        <v>503</v>
      </c>
      <c r="E22" s="8" t="s">
        <v>504</v>
      </c>
      <c r="F22" s="8" t="s">
        <v>505</v>
      </c>
      <c r="G22" s="8" t="s">
        <v>490</v>
      </c>
      <c r="H22" s="8" t="s">
        <v>141</v>
      </c>
      <c r="I22" s="8" t="s">
        <v>506</v>
      </c>
    </row>
    <row r="23" spans="1:9" ht="15">
      <c r="A23" s="27">
        <v>1</v>
      </c>
      <c r="B23" s="27" t="s">
        <v>507</v>
      </c>
      <c r="C23" s="7" t="s">
        <v>508</v>
      </c>
      <c r="D23" s="25" t="s">
        <v>509</v>
      </c>
      <c r="E23" s="25" t="s">
        <v>510</v>
      </c>
      <c r="F23" s="6" t="s">
        <v>511</v>
      </c>
      <c r="G23" s="26" t="s">
        <v>492</v>
      </c>
      <c r="H23" s="27" t="s">
        <v>160</v>
      </c>
      <c r="I23" s="6" t="s">
        <v>512</v>
      </c>
    </row>
    <row r="24" spans="1:9" ht="15">
      <c r="A24" s="27">
        <v>2</v>
      </c>
      <c r="B24" s="27" t="s">
        <v>507</v>
      </c>
      <c r="C24" s="7" t="s">
        <v>513</v>
      </c>
      <c r="D24" s="25" t="s">
        <v>514</v>
      </c>
      <c r="E24" s="25" t="s">
        <v>515</v>
      </c>
      <c r="F24" s="6" t="s">
        <v>516</v>
      </c>
      <c r="G24" s="28" t="s">
        <v>517</v>
      </c>
      <c r="H24" s="27" t="s">
        <v>144</v>
      </c>
      <c r="I24" s="6" t="s">
        <v>518</v>
      </c>
    </row>
    <row r="25" spans="1:9" ht="15">
      <c r="A25" s="27">
        <v>3</v>
      </c>
      <c r="B25" s="27" t="s">
        <v>507</v>
      </c>
      <c r="C25" s="7" t="s">
        <v>519</v>
      </c>
      <c r="D25" s="25" t="s">
        <v>520</v>
      </c>
      <c r="E25" s="25" t="s">
        <v>521</v>
      </c>
      <c r="F25" s="6" t="s">
        <v>522</v>
      </c>
      <c r="G25" s="28" t="s">
        <v>517</v>
      </c>
      <c r="H25" s="27" t="s">
        <v>144</v>
      </c>
      <c r="I25" s="6" t="s">
        <v>523</v>
      </c>
    </row>
    <row r="26" spans="1:9" ht="15">
      <c r="A26" s="27">
        <v>4</v>
      </c>
      <c r="B26" s="27" t="s">
        <v>507</v>
      </c>
      <c r="C26" s="7" t="s">
        <v>524</v>
      </c>
      <c r="D26" s="25" t="s">
        <v>525</v>
      </c>
      <c r="E26" s="25" t="s">
        <v>526</v>
      </c>
      <c r="F26" s="6" t="s">
        <v>522</v>
      </c>
      <c r="G26" s="26" t="s">
        <v>492</v>
      </c>
      <c r="H26" s="27" t="s">
        <v>160</v>
      </c>
      <c r="I26" s="6" t="s">
        <v>512</v>
      </c>
    </row>
    <row r="27" spans="1:9" ht="15">
      <c r="A27" s="27">
        <v>5</v>
      </c>
      <c r="B27" s="27" t="s">
        <v>527</v>
      </c>
      <c r="C27" s="7" t="s">
        <v>528</v>
      </c>
      <c r="D27" s="25" t="s">
        <v>529</v>
      </c>
      <c r="E27" s="25" t="s">
        <v>530</v>
      </c>
      <c r="F27" s="6" t="s">
        <v>531</v>
      </c>
      <c r="G27" s="26" t="s">
        <v>492</v>
      </c>
      <c r="H27" s="27" t="s">
        <v>160</v>
      </c>
      <c r="I27" s="6" t="s">
        <v>512</v>
      </c>
    </row>
    <row r="28" spans="1:9" ht="15">
      <c r="A28" s="27">
        <v>6</v>
      </c>
      <c r="B28" s="27" t="s">
        <v>527</v>
      </c>
      <c r="C28" s="7" t="s">
        <v>532</v>
      </c>
      <c r="D28" s="25" t="s">
        <v>533</v>
      </c>
      <c r="E28" s="25" t="s">
        <v>534</v>
      </c>
      <c r="F28" s="6" t="s">
        <v>535</v>
      </c>
      <c r="G28" s="26" t="s">
        <v>492</v>
      </c>
      <c r="H28" s="27" t="s">
        <v>151</v>
      </c>
      <c r="I28" s="6" t="s">
        <v>536</v>
      </c>
    </row>
    <row r="29" spans="1:9" ht="15">
      <c r="A29" s="27">
        <v>7</v>
      </c>
      <c r="B29" s="27" t="s">
        <v>527</v>
      </c>
      <c r="C29" s="7" t="s">
        <v>537</v>
      </c>
      <c r="D29" s="25" t="s">
        <v>538</v>
      </c>
      <c r="E29" s="25" t="s">
        <v>539</v>
      </c>
      <c r="F29" s="6" t="s">
        <v>540</v>
      </c>
      <c r="G29" s="26" t="s">
        <v>492</v>
      </c>
      <c r="H29" s="27" t="s">
        <v>151</v>
      </c>
      <c r="I29" s="6" t="s">
        <v>541</v>
      </c>
    </row>
    <row r="30" spans="1:9" ht="15">
      <c r="A30" s="27">
        <v>8</v>
      </c>
      <c r="B30" s="27" t="s">
        <v>542</v>
      </c>
      <c r="C30" s="7" t="s">
        <v>543</v>
      </c>
      <c r="D30" s="25" t="s">
        <v>544</v>
      </c>
      <c r="E30" s="25" t="s">
        <v>545</v>
      </c>
      <c r="F30" s="6" t="s">
        <v>546</v>
      </c>
      <c r="G30" s="26" t="s">
        <v>492</v>
      </c>
      <c r="H30" s="27" t="s">
        <v>151</v>
      </c>
      <c r="I30" s="6" t="s">
        <v>547</v>
      </c>
    </row>
    <row r="31" spans="1:9" ht="15">
      <c r="A31" s="27">
        <v>9</v>
      </c>
      <c r="B31" s="27" t="s">
        <v>542</v>
      </c>
      <c r="C31" s="7" t="s">
        <v>548</v>
      </c>
      <c r="D31" s="25" t="s">
        <v>549</v>
      </c>
      <c r="E31" s="25" t="s">
        <v>550</v>
      </c>
      <c r="F31" s="6" t="s">
        <v>551</v>
      </c>
      <c r="G31" s="26" t="s">
        <v>492</v>
      </c>
      <c r="H31" s="27" t="s">
        <v>151</v>
      </c>
      <c r="I31" s="6" t="s">
        <v>552</v>
      </c>
    </row>
    <row r="32" spans="1:9" ht="15">
      <c r="A32" s="27">
        <v>10</v>
      </c>
      <c r="B32" s="27" t="s">
        <v>507</v>
      </c>
      <c r="C32" s="7" t="s">
        <v>553</v>
      </c>
      <c r="D32" s="25" t="s">
        <v>554</v>
      </c>
      <c r="E32" s="25" t="s">
        <v>555</v>
      </c>
      <c r="F32" s="6" t="s">
        <v>522</v>
      </c>
      <c r="G32" s="26" t="s">
        <v>492</v>
      </c>
      <c r="H32" s="27" t="s">
        <v>160</v>
      </c>
      <c r="I32" s="6" t="s">
        <v>556</v>
      </c>
    </row>
    <row r="33" spans="1:9" ht="15">
      <c r="A33" s="27">
        <v>11</v>
      </c>
      <c r="B33" s="27" t="s">
        <v>507</v>
      </c>
      <c r="C33" s="7" t="s">
        <v>557</v>
      </c>
      <c r="D33" s="25" t="s">
        <v>558</v>
      </c>
      <c r="E33" s="25" t="s">
        <v>559</v>
      </c>
      <c r="F33" s="6" t="s">
        <v>522</v>
      </c>
      <c r="G33" s="26" t="s">
        <v>492</v>
      </c>
      <c r="H33" s="27" t="s">
        <v>160</v>
      </c>
      <c r="I33" s="6" t="s">
        <v>560</v>
      </c>
    </row>
    <row r="34" spans="1:9" ht="15">
      <c r="A34" s="27">
        <v>12</v>
      </c>
      <c r="B34" s="27" t="s">
        <v>527</v>
      </c>
      <c r="C34" s="7" t="s">
        <v>561</v>
      </c>
      <c r="D34" s="25" t="s">
        <v>562</v>
      </c>
      <c r="E34" s="25" t="s">
        <v>563</v>
      </c>
      <c r="F34" s="6" t="s">
        <v>564</v>
      </c>
      <c r="G34" s="26" t="s">
        <v>492</v>
      </c>
      <c r="H34" s="27" t="s">
        <v>151</v>
      </c>
      <c r="I34" s="6" t="s">
        <v>565</v>
      </c>
    </row>
    <row r="35" spans="1:9" ht="15">
      <c r="A35" s="27">
        <v>13</v>
      </c>
      <c r="B35" s="27" t="s">
        <v>542</v>
      </c>
      <c r="C35" s="7" t="s">
        <v>566</v>
      </c>
      <c r="D35" s="25" t="s">
        <v>567</v>
      </c>
      <c r="E35" s="25" t="s">
        <v>568</v>
      </c>
      <c r="F35" s="6" t="s">
        <v>569</v>
      </c>
      <c r="G35" s="26" t="s">
        <v>492</v>
      </c>
      <c r="H35" s="27" t="s">
        <v>151</v>
      </c>
      <c r="I35" s="6" t="s">
        <v>547</v>
      </c>
    </row>
    <row r="36" spans="1:9" ht="15">
      <c r="A36" s="27">
        <v>14</v>
      </c>
      <c r="B36" s="27" t="s">
        <v>542</v>
      </c>
      <c r="C36" s="7" t="s">
        <v>570</v>
      </c>
      <c r="D36" s="25" t="s">
        <v>571</v>
      </c>
      <c r="E36" s="25" t="s">
        <v>572</v>
      </c>
      <c r="F36" s="6" t="s">
        <v>573</v>
      </c>
      <c r="G36" s="26" t="s">
        <v>492</v>
      </c>
      <c r="H36" s="27" t="s">
        <v>160</v>
      </c>
      <c r="I36" s="6" t="s">
        <v>512</v>
      </c>
    </row>
    <row r="37" spans="1:9" ht="15">
      <c r="A37" s="27">
        <v>15</v>
      </c>
      <c r="B37" s="27" t="s">
        <v>507</v>
      </c>
      <c r="C37" s="7" t="s">
        <v>574</v>
      </c>
      <c r="D37" s="25" t="s">
        <v>575</v>
      </c>
      <c r="E37" s="25" t="s">
        <v>576</v>
      </c>
      <c r="F37" s="6" t="s">
        <v>577</v>
      </c>
      <c r="G37" s="26" t="s">
        <v>492</v>
      </c>
      <c r="H37" s="27" t="s">
        <v>151</v>
      </c>
      <c r="I37" s="6" t="s">
        <v>578</v>
      </c>
    </row>
    <row r="39" spans="1:9" ht="15">
      <c r="A39" s="10" t="s">
        <v>579</v>
      </c>
      <c r="B39" s="11"/>
      <c r="C39" s="11"/>
      <c r="D39" s="11"/>
      <c r="E39" s="11"/>
      <c r="F39" s="11"/>
      <c r="G39" s="11"/>
      <c r="H39" s="11"/>
    </row>
    <row r="40" spans="1:9" ht="15">
      <c r="A40" s="6" t="s">
        <v>580</v>
      </c>
    </row>
    <row r="41" spans="1:9" ht="15">
      <c r="A41" s="6" t="s">
        <v>581</v>
      </c>
    </row>
    <row r="42" spans="1:9" ht="15">
      <c r="A42" s="6" t="s">
        <v>582</v>
      </c>
    </row>
    <row r="43" spans="1:9" ht="15">
      <c r="A43" s="6" t="s">
        <v>583</v>
      </c>
    </row>
    <row r="44" spans="1:9" ht="15">
      <c r="A44" s="6" t="s">
        <v>584</v>
      </c>
    </row>
    <row r="45" spans="1:9" ht="15">
      <c r="A45" s="6" t="s">
        <v>585</v>
      </c>
    </row>
    <row r="46" spans="1:9" ht="15">
      <c r="A46" s="6" t="s">
        <v>586</v>
      </c>
    </row>
    <row r="47" spans="1:9" ht="15">
      <c r="A47" s="6" t="s">
        <v>587</v>
      </c>
    </row>
    <row r="48" spans="1:9" ht="15">
      <c r="A48" s="6" t="s">
        <v>588</v>
      </c>
    </row>
    <row r="50" spans="1:6" ht="15">
      <c r="A50" s="10" t="s">
        <v>589</v>
      </c>
      <c r="B50" s="11"/>
      <c r="C50" s="11"/>
      <c r="D50" s="11"/>
      <c r="E50" s="11"/>
      <c r="F50" s="11"/>
    </row>
    <row r="51" spans="1:6" ht="15">
      <c r="A51" s="29" t="s">
        <v>590</v>
      </c>
      <c r="B51" s="29" t="s">
        <v>591</v>
      </c>
      <c r="C51" s="29" t="s">
        <v>592</v>
      </c>
      <c r="D51" s="29" t="s">
        <v>593</v>
      </c>
      <c r="E51" s="29" t="s">
        <v>594</v>
      </c>
      <c r="F51" s="29" t="s">
        <v>595</v>
      </c>
    </row>
    <row r="52" spans="1:6" ht="15">
      <c r="A52" s="25" t="s">
        <v>596</v>
      </c>
      <c r="B52" s="7" t="s">
        <v>597</v>
      </c>
      <c r="C52" s="25" t="s">
        <v>35</v>
      </c>
      <c r="D52" s="25" t="s">
        <v>35</v>
      </c>
      <c r="E52" s="6" t="s">
        <v>598</v>
      </c>
      <c r="F52" s="25" t="s">
        <v>35</v>
      </c>
    </row>
  </sheetData>
  <phoneticPr fontId="2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5496"/>
  </sheetPr>
  <dimension ref="A1:J53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35" customWidth="1"/>
    <col min="2" max="10" width="16" customWidth="1"/>
  </cols>
  <sheetData>
    <row r="1" spans="1:10" ht="19">
      <c r="A1" s="30" t="s">
        <v>599</v>
      </c>
    </row>
    <row r="2" spans="1:10" ht="15">
      <c r="A2" s="49" t="s">
        <v>600</v>
      </c>
    </row>
    <row r="4" spans="1:10" ht="15">
      <c r="A4" s="29" t="s">
        <v>601</v>
      </c>
      <c r="B4" s="29"/>
      <c r="C4" s="29"/>
      <c r="D4" s="29"/>
      <c r="E4" s="29"/>
      <c r="F4" s="29"/>
      <c r="G4" s="29"/>
      <c r="H4" s="29"/>
      <c r="I4" s="29"/>
      <c r="J4" s="29"/>
    </row>
    <row r="5" spans="1:10" ht="30">
      <c r="A5" s="54" t="s">
        <v>602</v>
      </c>
      <c r="B5" s="54" t="s">
        <v>603</v>
      </c>
      <c r="C5" s="54" t="s">
        <v>604</v>
      </c>
      <c r="D5" s="54" t="s">
        <v>605</v>
      </c>
      <c r="E5" s="54" t="s">
        <v>606</v>
      </c>
      <c r="F5" s="54" t="s">
        <v>607</v>
      </c>
      <c r="G5" s="54" t="s">
        <v>608</v>
      </c>
      <c r="H5" s="54" t="s">
        <v>37</v>
      </c>
      <c r="I5" s="54" t="s">
        <v>609</v>
      </c>
      <c r="J5" s="54" t="s">
        <v>610</v>
      </c>
    </row>
    <row r="6" spans="1:10" ht="15">
      <c r="A6" s="55" t="s">
        <v>611</v>
      </c>
      <c r="B6" s="56">
        <v>0.2</v>
      </c>
      <c r="C6" s="57">
        <v>25000</v>
      </c>
      <c r="D6" s="58">
        <v>0.6</v>
      </c>
      <c r="E6" s="59">
        <f>C6*D6</f>
        <v>15000</v>
      </c>
      <c r="F6" s="60">
        <v>15</v>
      </c>
      <c r="G6" s="59">
        <f>E6*F6</f>
        <v>225000</v>
      </c>
      <c r="H6" s="57">
        <v>33000</v>
      </c>
      <c r="I6" s="59">
        <f>MAX(0,G6-H6)</f>
        <v>192000</v>
      </c>
      <c r="J6" s="61">
        <f>I6/Assumptions!C50</f>
        <v>336.84210526315792</v>
      </c>
    </row>
    <row r="7" spans="1:10" ht="15">
      <c r="A7" s="55" t="s">
        <v>612</v>
      </c>
      <c r="B7" s="56">
        <v>0.4</v>
      </c>
      <c r="C7" s="57">
        <v>20000</v>
      </c>
      <c r="D7" s="58">
        <v>0.55000000000000004</v>
      </c>
      <c r="E7" s="59">
        <f>C7*D7</f>
        <v>11000</v>
      </c>
      <c r="F7" s="60">
        <v>12</v>
      </c>
      <c r="G7" s="59">
        <f>E7*F7</f>
        <v>132000</v>
      </c>
      <c r="H7" s="57">
        <v>35000</v>
      </c>
      <c r="I7" s="59">
        <f>MAX(0,G7-H7)</f>
        <v>97000</v>
      </c>
      <c r="J7" s="61">
        <f>I7/Assumptions!C50</f>
        <v>170.17543859649123</v>
      </c>
    </row>
    <row r="8" spans="1:10" ht="15">
      <c r="A8" s="55" t="s">
        <v>613</v>
      </c>
      <c r="B8" s="56">
        <v>0.25</v>
      </c>
      <c r="C8" s="57">
        <v>15000</v>
      </c>
      <c r="D8" s="58">
        <v>0.5</v>
      </c>
      <c r="E8" s="59">
        <f>C8*D8</f>
        <v>7500</v>
      </c>
      <c r="F8" s="60">
        <v>8</v>
      </c>
      <c r="G8" s="59">
        <f>E8*F8</f>
        <v>60000</v>
      </c>
      <c r="H8" s="57">
        <v>35000</v>
      </c>
      <c r="I8" s="59">
        <f>MAX(0,G8-H8)</f>
        <v>25000</v>
      </c>
      <c r="J8" s="61">
        <f>I8/Assumptions!C50</f>
        <v>43.859649122807021</v>
      </c>
    </row>
    <row r="9" spans="1:10" ht="15">
      <c r="A9" s="55" t="s">
        <v>614</v>
      </c>
      <c r="B9" s="56">
        <v>0.1</v>
      </c>
      <c r="C9" s="57">
        <v>10000</v>
      </c>
      <c r="D9" s="58">
        <v>0.4</v>
      </c>
      <c r="E9" s="59">
        <f>C9*D9</f>
        <v>4000</v>
      </c>
      <c r="F9" s="60">
        <v>5</v>
      </c>
      <c r="G9" s="59">
        <f>E9*F9</f>
        <v>20000</v>
      </c>
      <c r="H9" s="57">
        <v>35000</v>
      </c>
      <c r="I9" s="59">
        <f>MAX(0,G9-H9)</f>
        <v>0</v>
      </c>
      <c r="J9" s="61">
        <f>I9/Assumptions!C50</f>
        <v>0</v>
      </c>
    </row>
    <row r="11" spans="1:10" ht="15">
      <c r="A11" s="29" t="s">
        <v>615</v>
      </c>
      <c r="B11" s="29"/>
      <c r="C11" s="29"/>
      <c r="D11" s="29"/>
      <c r="E11" s="31"/>
      <c r="F11" s="31"/>
      <c r="G11" s="31"/>
      <c r="H11" s="31"/>
      <c r="I11" s="31"/>
      <c r="J11" s="31"/>
    </row>
    <row r="12" spans="1:10" ht="15">
      <c r="A12" s="34" t="s">
        <v>602</v>
      </c>
      <c r="B12" s="34" t="s">
        <v>112</v>
      </c>
      <c r="C12" s="34" t="s">
        <v>610</v>
      </c>
      <c r="D12" s="34" t="s">
        <v>616</v>
      </c>
    </row>
    <row r="13" spans="1:10" ht="15">
      <c r="A13" s="55" t="s">
        <v>611</v>
      </c>
      <c r="B13" s="62">
        <f>B6</f>
        <v>0.2</v>
      </c>
      <c r="C13" s="61">
        <f>J6</f>
        <v>336.84210526315792</v>
      </c>
      <c r="D13" s="61">
        <f>B13*C13</f>
        <v>67.368421052631589</v>
      </c>
    </row>
    <row r="14" spans="1:10" ht="15">
      <c r="A14" s="55" t="s">
        <v>612</v>
      </c>
      <c r="B14" s="62">
        <f>B7</f>
        <v>0.4</v>
      </c>
      <c r="C14" s="61">
        <f>J7</f>
        <v>170.17543859649123</v>
      </c>
      <c r="D14" s="61">
        <f>B14*C14</f>
        <v>68.070175438596493</v>
      </c>
    </row>
    <row r="15" spans="1:10" ht="15">
      <c r="A15" s="55" t="s">
        <v>613</v>
      </c>
      <c r="B15" s="62">
        <f>B8</f>
        <v>0.25</v>
      </c>
      <c r="C15" s="61">
        <f>J8</f>
        <v>43.859649122807021</v>
      </c>
      <c r="D15" s="61">
        <f>B15*C15</f>
        <v>10.964912280701755</v>
      </c>
    </row>
    <row r="16" spans="1:10" ht="15">
      <c r="A16" s="55" t="s">
        <v>614</v>
      </c>
      <c r="B16" s="62">
        <f>B9</f>
        <v>0.1</v>
      </c>
      <c r="C16" s="61">
        <f>J9</f>
        <v>0</v>
      </c>
      <c r="D16" s="61">
        <f>B16*C16</f>
        <v>0</v>
      </c>
    </row>
    <row r="17" spans="1:10" ht="15">
      <c r="A17" s="55" t="s">
        <v>617</v>
      </c>
      <c r="B17" s="56">
        <v>0.05</v>
      </c>
      <c r="C17" s="63"/>
      <c r="D17" s="61">
        <v>0</v>
      </c>
    </row>
    <row r="18" spans="1:10" ht="15">
      <c r="A18" s="64" t="s">
        <v>618</v>
      </c>
      <c r="B18" s="65">
        <f>SUM(B13:B17)</f>
        <v>1</v>
      </c>
      <c r="C18" s="64"/>
      <c r="D18" s="66">
        <f>SUM(D13:D17)</f>
        <v>146.40350877192984</v>
      </c>
      <c r="E18" s="67"/>
      <c r="F18" s="67"/>
      <c r="G18" s="67"/>
      <c r="H18" s="67"/>
      <c r="I18" s="67"/>
      <c r="J18" s="67"/>
    </row>
    <row r="19" spans="1:10" ht="15">
      <c r="A19" s="7" t="s">
        <v>619</v>
      </c>
      <c r="C19" s="61">
        <f>Raw_Info!D109</f>
        <v>118.69</v>
      </c>
    </row>
    <row r="20" spans="1:10" ht="15">
      <c r="A20" s="68" t="s">
        <v>620</v>
      </c>
      <c r="B20" s="11"/>
      <c r="C20" s="11"/>
      <c r="D20" s="69">
        <f>D18/C19-1</f>
        <v>0.23349489234080245</v>
      </c>
      <c r="E20" s="11"/>
      <c r="F20" s="11"/>
      <c r="G20" s="11"/>
      <c r="H20" s="11"/>
      <c r="I20" s="11"/>
      <c r="J20" s="11"/>
    </row>
    <row r="22" spans="1:10" ht="15">
      <c r="A22" s="29" t="s">
        <v>621</v>
      </c>
      <c r="B22" s="29"/>
      <c r="C22" s="29"/>
      <c r="D22" s="29"/>
      <c r="E22" s="29"/>
      <c r="F22" s="29"/>
      <c r="G22" s="29"/>
      <c r="H22" s="31"/>
      <c r="I22" s="31"/>
      <c r="J22" s="31"/>
    </row>
    <row r="23" spans="1:10" ht="15">
      <c r="A23" s="49" t="s">
        <v>622</v>
      </c>
    </row>
    <row r="24" spans="1:10" ht="15">
      <c r="A24" s="33" t="s">
        <v>623</v>
      </c>
      <c r="B24" s="34" t="s">
        <v>624</v>
      </c>
      <c r="C24" s="34" t="s">
        <v>625</v>
      </c>
      <c r="D24" s="34" t="s">
        <v>626</v>
      </c>
      <c r="E24" s="34" t="s">
        <v>627</v>
      </c>
      <c r="F24" s="34" t="s">
        <v>628</v>
      </c>
    </row>
    <row r="25" spans="1:10" ht="15">
      <c r="A25" s="70">
        <v>7500</v>
      </c>
      <c r="B25" s="71">
        <v>43.859649122807021</v>
      </c>
      <c r="C25" s="71">
        <v>70.175438596491233</v>
      </c>
      <c r="D25" s="71">
        <v>96.491228070175438</v>
      </c>
      <c r="E25" s="72">
        <v>135.96491228070181</v>
      </c>
      <c r="F25" s="73">
        <v>175.43859649122811</v>
      </c>
    </row>
    <row r="26" spans="1:10" ht="15">
      <c r="A26" s="70">
        <v>10000</v>
      </c>
      <c r="B26" s="71">
        <v>78.94736842105263</v>
      </c>
      <c r="C26" s="72">
        <v>114.0350877192982</v>
      </c>
      <c r="D26" s="72">
        <v>149.12280701754389</v>
      </c>
      <c r="E26" s="73">
        <v>201.7543859649123</v>
      </c>
      <c r="F26" s="73">
        <v>254.38596491228071</v>
      </c>
    </row>
    <row r="27" spans="1:10" ht="15">
      <c r="A27" s="70">
        <v>11000</v>
      </c>
      <c r="B27" s="71">
        <v>92.982456140350877</v>
      </c>
      <c r="C27" s="72">
        <v>131.57894736842101</v>
      </c>
      <c r="D27" s="73">
        <v>170.1754385964912</v>
      </c>
      <c r="E27" s="73">
        <v>228.07017543859649</v>
      </c>
      <c r="F27" s="73">
        <v>285.96491228070181</v>
      </c>
    </row>
    <row r="28" spans="1:10" ht="15">
      <c r="A28" s="70">
        <v>13000</v>
      </c>
      <c r="B28" s="72">
        <v>121.0526315789474</v>
      </c>
      <c r="C28" s="73">
        <v>166.66666666666671</v>
      </c>
      <c r="D28" s="73">
        <v>212.280701754386</v>
      </c>
      <c r="E28" s="73">
        <v>280.70175438596488</v>
      </c>
      <c r="F28" s="73">
        <v>349.12280701754378</v>
      </c>
    </row>
    <row r="29" spans="1:10" ht="15">
      <c r="A29" s="70">
        <v>15000</v>
      </c>
      <c r="B29" s="72">
        <v>149.12280701754389</v>
      </c>
      <c r="C29" s="73">
        <v>201.7543859649123</v>
      </c>
      <c r="D29" s="73">
        <v>254.38596491228071</v>
      </c>
      <c r="E29" s="73">
        <v>333.33333333333331</v>
      </c>
      <c r="F29" s="73">
        <v>412.28070175438597</v>
      </c>
    </row>
    <row r="31" spans="1:10" ht="15">
      <c r="A31" s="29" t="s">
        <v>629</v>
      </c>
      <c r="B31" s="29"/>
      <c r="C31" s="29"/>
      <c r="D31" s="29"/>
      <c r="E31" s="29"/>
      <c r="F31" s="29"/>
      <c r="G31" s="29"/>
      <c r="H31" s="31"/>
      <c r="I31" s="31"/>
      <c r="J31" s="31"/>
    </row>
    <row r="32" spans="1:10" ht="15">
      <c r="A32" s="49" t="s">
        <v>630</v>
      </c>
    </row>
    <row r="33" spans="1:10" ht="15">
      <c r="A33" s="33" t="s">
        <v>631</v>
      </c>
      <c r="B33" s="34" t="s">
        <v>632</v>
      </c>
      <c r="C33" s="34" t="s">
        <v>633</v>
      </c>
      <c r="D33" s="34" t="s">
        <v>634</v>
      </c>
      <c r="E33" s="34" t="s">
        <v>635</v>
      </c>
      <c r="F33" s="34" t="s">
        <v>636</v>
      </c>
    </row>
    <row r="34" spans="1:10" ht="15">
      <c r="A34" s="70">
        <v>7500</v>
      </c>
      <c r="B34" s="72">
        <v>105.26315789473681</v>
      </c>
      <c r="C34" s="71">
        <v>100</v>
      </c>
      <c r="D34" s="71">
        <v>96.491228070175438</v>
      </c>
      <c r="E34" s="71">
        <v>91.228070175438603</v>
      </c>
      <c r="F34" s="71">
        <v>87.719298245614041</v>
      </c>
    </row>
    <row r="35" spans="1:10" ht="15">
      <c r="A35" s="70">
        <v>10000</v>
      </c>
      <c r="B35" s="73">
        <v>157.89473684210529</v>
      </c>
      <c r="C35" s="73">
        <v>152.63157894736841</v>
      </c>
      <c r="D35" s="72">
        <v>149.12280701754389</v>
      </c>
      <c r="E35" s="72">
        <v>143.85964912280701</v>
      </c>
      <c r="F35" s="72">
        <v>140.35087719298249</v>
      </c>
    </row>
    <row r="36" spans="1:10" ht="15">
      <c r="A36" s="70">
        <v>11000</v>
      </c>
      <c r="B36" s="73">
        <v>178.9473684210526</v>
      </c>
      <c r="C36" s="73">
        <v>173.68421052631581</v>
      </c>
      <c r="D36" s="73">
        <v>170.1754385964912</v>
      </c>
      <c r="E36" s="73">
        <v>164.91228070175441</v>
      </c>
      <c r="F36" s="73">
        <v>161.40350877192981</v>
      </c>
    </row>
    <row r="37" spans="1:10" ht="15">
      <c r="A37" s="70">
        <v>13000</v>
      </c>
      <c r="B37" s="73">
        <v>221.0526315789474</v>
      </c>
      <c r="C37" s="73">
        <v>215.78947368421049</v>
      </c>
      <c r="D37" s="73">
        <v>212.280701754386</v>
      </c>
      <c r="E37" s="73">
        <v>207.01754385964909</v>
      </c>
      <c r="F37" s="73">
        <v>203.50877192982449</v>
      </c>
    </row>
    <row r="38" spans="1:10" ht="15">
      <c r="A38" s="70">
        <v>15000</v>
      </c>
      <c r="B38" s="73">
        <v>263.15789473684208</v>
      </c>
      <c r="C38" s="73">
        <v>257.89473684210532</v>
      </c>
      <c r="D38" s="73">
        <v>254.38596491228071</v>
      </c>
      <c r="E38" s="73">
        <v>249.12280701754389</v>
      </c>
      <c r="F38" s="73">
        <v>245.61403508771929</v>
      </c>
    </row>
    <row r="40" spans="1:10" ht="15">
      <c r="A40" s="29" t="s">
        <v>637</v>
      </c>
      <c r="B40" s="29"/>
      <c r="C40" s="29"/>
      <c r="D40" s="29"/>
      <c r="E40" s="31"/>
      <c r="F40" s="31"/>
      <c r="G40" s="31"/>
      <c r="H40" s="31"/>
      <c r="I40" s="31"/>
      <c r="J40" s="31"/>
    </row>
    <row r="41" spans="1:10" ht="15">
      <c r="A41" s="7"/>
      <c r="B41" s="7"/>
      <c r="C41" s="34" t="s">
        <v>638</v>
      </c>
      <c r="D41" s="34" t="s">
        <v>639</v>
      </c>
    </row>
    <row r="42" spans="1:10" ht="15">
      <c r="A42" s="49" t="s">
        <v>640</v>
      </c>
      <c r="B42" s="74" t="s">
        <v>641</v>
      </c>
      <c r="C42" s="75" t="s">
        <v>611</v>
      </c>
      <c r="D42" s="76" t="s">
        <v>612</v>
      </c>
    </row>
    <row r="43" spans="1:10" ht="15">
      <c r="A43" s="49" t="s">
        <v>640</v>
      </c>
      <c r="B43" s="74" t="s">
        <v>642</v>
      </c>
      <c r="C43" s="76" t="s">
        <v>612</v>
      </c>
      <c r="D43" s="77" t="s">
        <v>613</v>
      </c>
    </row>
    <row r="44" spans="1:10" ht="15">
      <c r="A44" s="49" t="s">
        <v>640</v>
      </c>
      <c r="B44" s="74" t="s">
        <v>643</v>
      </c>
      <c r="C44" s="77" t="s">
        <v>613</v>
      </c>
      <c r="D44" s="78" t="s">
        <v>614</v>
      </c>
    </row>
    <row r="45" spans="1:10" ht="15">
      <c r="A45" s="49" t="s">
        <v>644</v>
      </c>
    </row>
    <row r="47" spans="1:10" ht="15">
      <c r="A47" s="29" t="s">
        <v>645</v>
      </c>
      <c r="B47" s="29"/>
      <c r="C47" s="29"/>
      <c r="D47" s="31"/>
      <c r="E47" s="31"/>
      <c r="F47" s="31"/>
      <c r="G47" s="31"/>
      <c r="H47" s="31"/>
      <c r="I47" s="31"/>
      <c r="J47" s="31"/>
    </row>
    <row r="48" spans="1:10" ht="15">
      <c r="A48" s="7" t="s">
        <v>646</v>
      </c>
      <c r="B48" s="37">
        <f>IS!F5</f>
        <v>20000</v>
      </c>
    </row>
    <row r="49" spans="1:2" ht="15">
      <c r="A49" s="7" t="s">
        <v>647</v>
      </c>
      <c r="B49" s="37">
        <f>IS!F43</f>
        <v>11700</v>
      </c>
    </row>
    <row r="50" spans="1:2" ht="15">
      <c r="A50" s="7" t="s">
        <v>648</v>
      </c>
      <c r="B50" s="39">
        <f>IS!F44</f>
        <v>0.58499999999999996</v>
      </c>
    </row>
    <row r="51" spans="1:2" ht="15">
      <c r="A51" s="7" t="s">
        <v>649</v>
      </c>
      <c r="B51" s="37">
        <f>BS!E23+BS!E29-BS!E5</f>
        <v>30092.492624657527</v>
      </c>
    </row>
    <row r="52" spans="1:2" ht="15">
      <c r="A52" s="7" t="s">
        <v>650</v>
      </c>
      <c r="B52" s="79">
        <f>Raw_Info!D109</f>
        <v>118.69</v>
      </c>
    </row>
    <row r="53" spans="1:2" ht="15">
      <c r="A53" s="7" t="s">
        <v>651</v>
      </c>
      <c r="B53" s="37">
        <f>Assumptions!C50</f>
        <v>570</v>
      </c>
    </row>
  </sheetData>
  <phoneticPr fontId="2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5496"/>
  </sheetPr>
  <dimension ref="A1:E154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35" customWidth="1"/>
    <col min="2" max="4" width="14" customWidth="1"/>
    <col min="5" max="5" width="45" customWidth="1"/>
  </cols>
  <sheetData>
    <row r="1" spans="1:5" ht="19">
      <c r="A1" s="104" t="s">
        <v>652</v>
      </c>
      <c r="B1" s="103"/>
      <c r="C1" s="103"/>
      <c r="D1" s="103"/>
      <c r="E1" s="103"/>
    </row>
    <row r="2" spans="1:5" ht="15">
      <c r="A2" s="102" t="s">
        <v>653</v>
      </c>
      <c r="B2" s="103"/>
      <c r="C2" s="103"/>
      <c r="D2" s="103"/>
      <c r="E2" s="103"/>
    </row>
    <row r="3" spans="1:5" ht="15">
      <c r="A3" s="8" t="s">
        <v>654</v>
      </c>
      <c r="B3" s="8" t="s">
        <v>15</v>
      </c>
      <c r="C3" s="8" t="s">
        <v>16</v>
      </c>
      <c r="D3" s="8" t="s">
        <v>17</v>
      </c>
      <c r="E3" s="8" t="s">
        <v>655</v>
      </c>
    </row>
    <row r="4" spans="1:5" ht="15">
      <c r="A4" s="46" t="s">
        <v>656</v>
      </c>
      <c r="B4" s="2"/>
      <c r="C4" s="2"/>
      <c r="D4" s="2"/>
      <c r="E4" s="2"/>
    </row>
    <row r="5" spans="1:5" ht="15">
      <c r="A5" s="80" t="s">
        <v>657</v>
      </c>
      <c r="B5" s="94">
        <v>229</v>
      </c>
      <c r="C5" s="94">
        <v>1915</v>
      </c>
      <c r="D5" s="94">
        <v>5131</v>
      </c>
      <c r="E5" s="82" t="s">
        <v>658</v>
      </c>
    </row>
    <row r="6" spans="1:5" ht="15">
      <c r="A6" s="80" t="s">
        <v>659</v>
      </c>
      <c r="B6" s="94">
        <v>69</v>
      </c>
      <c r="C6" s="94">
        <v>493</v>
      </c>
      <c r="D6" s="94">
        <v>1453</v>
      </c>
      <c r="E6" s="82" t="s">
        <v>660</v>
      </c>
    </row>
    <row r="7" spans="1:5" ht="15">
      <c r="A7" s="80" t="s">
        <v>661</v>
      </c>
      <c r="B7" s="94">
        <v>160</v>
      </c>
      <c r="C7" s="94">
        <v>1422</v>
      </c>
      <c r="D7" s="94">
        <v>3678</v>
      </c>
      <c r="E7" s="82" t="s">
        <v>662</v>
      </c>
    </row>
    <row r="8" spans="1:5" ht="15">
      <c r="A8" s="80" t="s">
        <v>663</v>
      </c>
      <c r="B8" s="94">
        <v>132</v>
      </c>
      <c r="C8" s="94">
        <v>961</v>
      </c>
      <c r="D8" s="94">
        <v>2929</v>
      </c>
      <c r="E8" s="82" t="s">
        <v>664</v>
      </c>
    </row>
    <row r="9" spans="1:5" ht="15">
      <c r="A9" s="80" t="s">
        <v>665</v>
      </c>
      <c r="B9" s="94">
        <v>13</v>
      </c>
      <c r="C9" s="94">
        <v>18</v>
      </c>
      <c r="D9" s="94">
        <v>144</v>
      </c>
      <c r="E9" s="82" t="s">
        <v>666</v>
      </c>
    </row>
    <row r="10" spans="1:5" ht="15">
      <c r="A10" s="80" t="s">
        <v>667</v>
      </c>
      <c r="B10" s="94">
        <v>30</v>
      </c>
      <c r="C10" s="94">
        <v>119</v>
      </c>
      <c r="D10" s="94">
        <v>651</v>
      </c>
      <c r="E10" s="82" t="s">
        <v>666</v>
      </c>
    </row>
    <row r="11" spans="1:5" ht="15">
      <c r="A11" s="80" t="s">
        <v>668</v>
      </c>
      <c r="B11" s="94">
        <v>243</v>
      </c>
      <c r="C11" s="94">
        <v>1591</v>
      </c>
      <c r="D11" s="94">
        <v>5177</v>
      </c>
      <c r="E11" s="82" t="s">
        <v>669</v>
      </c>
    </row>
    <row r="12" spans="1:5" ht="15">
      <c r="A12" s="80" t="s">
        <v>670</v>
      </c>
      <c r="B12" s="94">
        <v>-14</v>
      </c>
      <c r="C12" s="94">
        <v>324</v>
      </c>
      <c r="D12" s="94">
        <v>-46</v>
      </c>
      <c r="E12" s="82" t="s">
        <v>666</v>
      </c>
    </row>
    <row r="13" spans="1:5" ht="15">
      <c r="A13" s="80" t="s">
        <v>671</v>
      </c>
      <c r="B13" s="94">
        <v>-534</v>
      </c>
      <c r="C13" s="94">
        <v>-756</v>
      </c>
      <c r="D13" s="94">
        <v>27</v>
      </c>
      <c r="E13" s="82" t="s">
        <v>672</v>
      </c>
    </row>
    <row r="14" spans="1:5" ht="15">
      <c r="A14" s="80" t="s">
        <v>673</v>
      </c>
      <c r="B14" s="94">
        <v>-28</v>
      </c>
      <c r="C14" s="94">
        <v>-361</v>
      </c>
      <c r="D14" s="94">
        <v>-1229</v>
      </c>
      <c r="E14" s="82" t="s">
        <v>674</v>
      </c>
    </row>
    <row r="15" spans="1:5" ht="15">
      <c r="A15" s="80" t="s">
        <v>675</v>
      </c>
      <c r="B15" s="94">
        <v>19</v>
      </c>
      <c r="C15" s="94">
        <v>49</v>
      </c>
      <c r="D15" s="94">
        <v>33</v>
      </c>
      <c r="E15" s="82" t="s">
        <v>666</v>
      </c>
    </row>
    <row r="16" spans="1:5" ht="15">
      <c r="A16" s="80" t="s">
        <v>676</v>
      </c>
      <c r="B16" s="94">
        <v>-558</v>
      </c>
      <c r="C16" s="94">
        <v>-744</v>
      </c>
      <c r="D16" s="94">
        <v>-1215</v>
      </c>
      <c r="E16" s="82" t="s">
        <v>666</v>
      </c>
    </row>
    <row r="17" spans="1:5" ht="15">
      <c r="A17" s="80" t="s">
        <v>677</v>
      </c>
      <c r="B17" s="94">
        <v>36</v>
      </c>
      <c r="C17" s="94">
        <v>119</v>
      </c>
      <c r="D17" s="94">
        <v>-48</v>
      </c>
      <c r="E17" s="82" t="s">
        <v>666</v>
      </c>
    </row>
    <row r="18" spans="1:5" ht="15">
      <c r="A18" s="80" t="s">
        <v>678</v>
      </c>
      <c r="B18" s="94">
        <v>-594</v>
      </c>
      <c r="C18" s="94">
        <v>-863</v>
      </c>
      <c r="D18" s="94">
        <v>-1167</v>
      </c>
      <c r="E18" s="82" t="s">
        <v>679</v>
      </c>
    </row>
    <row r="19" spans="1:5" ht="15">
      <c r="A19" s="80" t="s">
        <v>680</v>
      </c>
      <c r="B19" s="94">
        <v>103</v>
      </c>
      <c r="C19" s="94">
        <v>863</v>
      </c>
      <c r="D19" s="94">
        <v>2454</v>
      </c>
      <c r="E19" s="82" t="s">
        <v>660</v>
      </c>
    </row>
    <row r="20" spans="1:5" ht="15">
      <c r="A20" s="80" t="s">
        <v>681</v>
      </c>
      <c r="B20" s="94">
        <v>15</v>
      </c>
      <c r="C20" s="94">
        <v>31</v>
      </c>
      <c r="D20" s="94">
        <v>630</v>
      </c>
      <c r="E20" s="82" t="s">
        <v>682</v>
      </c>
    </row>
    <row r="21" spans="1:5" ht="15">
      <c r="A21" s="80" t="s">
        <v>683</v>
      </c>
      <c r="B21" s="94">
        <v>21</v>
      </c>
      <c r="C21" s="94">
        <v>56</v>
      </c>
      <c r="D21" s="94">
        <v>352</v>
      </c>
      <c r="E21" s="82" t="s">
        <v>666</v>
      </c>
    </row>
    <row r="22" spans="1:5" ht="15">
      <c r="A22" s="80" t="s">
        <v>684</v>
      </c>
      <c r="B22" s="4"/>
      <c r="C22" s="4"/>
      <c r="D22" s="94">
        <v>3090</v>
      </c>
      <c r="E22" s="82" t="s">
        <v>685</v>
      </c>
    </row>
    <row r="24" spans="1:5" ht="15">
      <c r="A24" s="46" t="s">
        <v>686</v>
      </c>
      <c r="B24" s="2"/>
      <c r="C24" s="2"/>
      <c r="D24" s="2"/>
      <c r="E24" s="2"/>
    </row>
    <row r="25" spans="1:5" ht="15">
      <c r="A25" s="80" t="s">
        <v>687</v>
      </c>
      <c r="B25" s="4"/>
      <c r="C25" s="4"/>
      <c r="D25" s="94">
        <v>982</v>
      </c>
      <c r="E25" s="82" t="s">
        <v>688</v>
      </c>
    </row>
    <row r="26" spans="1:5" ht="15">
      <c r="A26" s="80" t="s">
        <v>689</v>
      </c>
      <c r="B26" s="4"/>
      <c r="C26" s="4"/>
      <c r="D26" s="94">
        <v>1213</v>
      </c>
      <c r="E26" s="82" t="s">
        <v>690</v>
      </c>
    </row>
    <row r="27" spans="1:5" ht="15">
      <c r="A27" s="80" t="s">
        <v>691</v>
      </c>
      <c r="B27" s="4"/>
      <c r="C27" s="4"/>
      <c r="D27" s="94">
        <v>1365</v>
      </c>
      <c r="E27" s="82" t="s">
        <v>692</v>
      </c>
    </row>
    <row r="28" spans="1:5" ht="15">
      <c r="A28" s="80" t="s">
        <v>693</v>
      </c>
      <c r="B28" s="4"/>
      <c r="C28" s="4"/>
      <c r="D28" s="94">
        <v>1572</v>
      </c>
      <c r="E28" s="82" t="s">
        <v>694</v>
      </c>
    </row>
    <row r="30" spans="1:5" ht="15">
      <c r="A30" s="46" t="s">
        <v>695</v>
      </c>
      <c r="B30" s="2"/>
      <c r="C30" s="2"/>
      <c r="D30" s="2"/>
      <c r="E30" s="2"/>
    </row>
    <row r="31" spans="1:5" ht="15">
      <c r="A31" s="80" t="s">
        <v>696</v>
      </c>
      <c r="B31" s="4"/>
      <c r="C31" s="94">
        <v>1398</v>
      </c>
      <c r="D31" s="94">
        <v>3980</v>
      </c>
      <c r="E31" s="82" t="s">
        <v>660</v>
      </c>
    </row>
    <row r="32" spans="1:5" ht="15">
      <c r="A32" s="80" t="s">
        <v>697</v>
      </c>
      <c r="B32" s="4"/>
      <c r="C32" s="94">
        <v>417</v>
      </c>
      <c r="D32" s="94">
        <v>3169</v>
      </c>
      <c r="E32" s="82" t="s">
        <v>666</v>
      </c>
    </row>
    <row r="33" spans="1:5" ht="15">
      <c r="A33" s="80" t="s">
        <v>698</v>
      </c>
      <c r="B33" s="4"/>
      <c r="C33" s="94">
        <v>101</v>
      </c>
      <c r="D33" s="94">
        <v>339</v>
      </c>
      <c r="E33" s="82" t="s">
        <v>666</v>
      </c>
    </row>
    <row r="34" spans="1:5" ht="15">
      <c r="A34" s="80" t="s">
        <v>699</v>
      </c>
      <c r="B34" s="3"/>
      <c r="C34" s="94">
        <v>1916</v>
      </c>
      <c r="D34" s="94">
        <v>7488</v>
      </c>
      <c r="E34" s="82" t="s">
        <v>666</v>
      </c>
    </row>
    <row r="35" spans="1:5" ht="15">
      <c r="A35" s="80" t="s">
        <v>700</v>
      </c>
      <c r="B35" s="4"/>
      <c r="C35" s="94">
        <v>11915</v>
      </c>
      <c r="D35" s="94">
        <v>30557</v>
      </c>
      <c r="E35" s="82" t="s">
        <v>666</v>
      </c>
    </row>
    <row r="36" spans="1:5" ht="15">
      <c r="A36" s="80" t="s">
        <v>701</v>
      </c>
      <c r="B36" s="4"/>
      <c r="C36" s="94">
        <v>5</v>
      </c>
      <c r="D36" s="94">
        <v>235</v>
      </c>
      <c r="E36" s="82" t="s">
        <v>666</v>
      </c>
    </row>
    <row r="37" spans="1:5" ht="15">
      <c r="A37" s="80" t="s">
        <v>702</v>
      </c>
      <c r="B37" s="4"/>
      <c r="C37" s="94">
        <v>20</v>
      </c>
      <c r="D37" s="94">
        <v>1101</v>
      </c>
      <c r="E37" s="82" t="s">
        <v>703</v>
      </c>
    </row>
    <row r="38" spans="1:5" ht="15">
      <c r="A38" s="80" t="s">
        <v>704</v>
      </c>
      <c r="B38" s="4"/>
      <c r="C38" s="94">
        <v>2590</v>
      </c>
      <c r="D38" s="94">
        <v>8231</v>
      </c>
      <c r="E38" s="82" t="s">
        <v>666</v>
      </c>
    </row>
    <row r="39" spans="1:5" ht="15">
      <c r="A39" s="80" t="s">
        <v>705</v>
      </c>
      <c r="B39" s="4"/>
      <c r="C39" s="94">
        <v>1387</v>
      </c>
      <c r="D39" s="94">
        <v>1690</v>
      </c>
      <c r="E39" s="82" t="s">
        <v>666</v>
      </c>
    </row>
    <row r="40" spans="1:5" ht="15">
      <c r="A40" s="80" t="s">
        <v>706</v>
      </c>
      <c r="B40" s="3"/>
      <c r="C40" s="94">
        <v>15917</v>
      </c>
      <c r="D40" s="94">
        <v>41814</v>
      </c>
      <c r="E40" s="82" t="s">
        <v>666</v>
      </c>
    </row>
    <row r="41" spans="1:5" ht="15">
      <c r="A41" s="80" t="s">
        <v>707</v>
      </c>
      <c r="B41" s="3"/>
      <c r="C41" s="94">
        <v>17833</v>
      </c>
      <c r="D41" s="94">
        <v>49302</v>
      </c>
      <c r="E41" s="82" t="s">
        <v>666</v>
      </c>
    </row>
    <row r="42" spans="1:5" ht="15">
      <c r="A42" s="80" t="s">
        <v>708</v>
      </c>
      <c r="B42" s="4"/>
      <c r="C42" s="94">
        <v>868</v>
      </c>
      <c r="D42" s="94">
        <v>1623</v>
      </c>
      <c r="E42" s="82" t="s">
        <v>666</v>
      </c>
    </row>
    <row r="43" spans="1:5" ht="15">
      <c r="A43" s="80" t="s">
        <v>709</v>
      </c>
      <c r="B43" s="4"/>
      <c r="C43" s="94">
        <v>356</v>
      </c>
      <c r="D43" s="94">
        <v>5773</v>
      </c>
      <c r="E43" s="82" t="s">
        <v>666</v>
      </c>
    </row>
    <row r="44" spans="1:5" ht="15">
      <c r="A44" s="80" t="s">
        <v>710</v>
      </c>
      <c r="B44" s="4"/>
      <c r="C44" s="94">
        <v>2468</v>
      </c>
      <c r="D44" s="94">
        <v>6708</v>
      </c>
      <c r="E44" s="82" t="s">
        <v>666</v>
      </c>
    </row>
    <row r="45" spans="1:5" ht="15">
      <c r="A45" s="80" t="s">
        <v>711</v>
      </c>
      <c r="B45" s="4"/>
      <c r="C45" s="94">
        <v>769</v>
      </c>
      <c r="D45" s="94">
        <v>1709</v>
      </c>
      <c r="E45" s="82" t="s">
        <v>666</v>
      </c>
    </row>
    <row r="46" spans="1:5" ht="15">
      <c r="A46" s="80" t="s">
        <v>712</v>
      </c>
      <c r="B46" s="4"/>
      <c r="C46" s="94">
        <v>502</v>
      </c>
      <c r="D46" s="94">
        <v>627</v>
      </c>
      <c r="E46" s="82" t="s">
        <v>713</v>
      </c>
    </row>
    <row r="47" spans="1:5" ht="15">
      <c r="A47" s="80" t="s">
        <v>714</v>
      </c>
      <c r="B47" s="3"/>
      <c r="C47" s="94">
        <v>4963</v>
      </c>
      <c r="D47" s="94">
        <v>16440</v>
      </c>
      <c r="E47" s="82" t="s">
        <v>666</v>
      </c>
    </row>
    <row r="48" spans="1:5" ht="15">
      <c r="A48" s="80" t="s">
        <v>715</v>
      </c>
      <c r="B48" s="4"/>
      <c r="C48" s="94">
        <v>5458</v>
      </c>
      <c r="D48" s="94">
        <v>14665</v>
      </c>
      <c r="E48" s="82" t="s">
        <v>666</v>
      </c>
    </row>
    <row r="49" spans="1:5" ht="15">
      <c r="A49" s="80" t="s">
        <v>716</v>
      </c>
      <c r="B49" s="4"/>
      <c r="C49" s="94">
        <v>3295</v>
      </c>
      <c r="D49" s="94">
        <v>6476</v>
      </c>
      <c r="E49" s="82" t="s">
        <v>666</v>
      </c>
    </row>
    <row r="50" spans="1:5" ht="15">
      <c r="A50" s="80" t="s">
        <v>717</v>
      </c>
      <c r="B50" s="4"/>
      <c r="C50" s="94">
        <v>2423</v>
      </c>
      <c r="D50" s="94">
        <v>7984</v>
      </c>
      <c r="E50" s="82" t="s">
        <v>666</v>
      </c>
    </row>
    <row r="51" spans="1:5" ht="15">
      <c r="A51" s="80" t="s">
        <v>718</v>
      </c>
      <c r="B51" s="4"/>
      <c r="C51" s="94">
        <v>386</v>
      </c>
      <c r="D51" s="94">
        <v>402</v>
      </c>
      <c r="E51" s="82" t="s">
        <v>666</v>
      </c>
    </row>
    <row r="52" spans="1:5" ht="15">
      <c r="A52" s="80" t="s">
        <v>719</v>
      </c>
      <c r="B52" s="3"/>
      <c r="C52" s="94">
        <v>11562</v>
      </c>
      <c r="D52" s="94">
        <v>29527</v>
      </c>
      <c r="E52" s="82" t="s">
        <v>666</v>
      </c>
    </row>
    <row r="53" spans="1:5" ht="15">
      <c r="A53" s="80" t="s">
        <v>720</v>
      </c>
      <c r="B53" s="3"/>
      <c r="C53" s="94">
        <v>16525</v>
      </c>
      <c r="D53" s="94">
        <v>45967</v>
      </c>
      <c r="E53" s="82" t="s">
        <v>666</v>
      </c>
    </row>
    <row r="54" spans="1:5" ht="15">
      <c r="A54" s="80" t="s">
        <v>721</v>
      </c>
      <c r="B54" s="4"/>
      <c r="C54" s="94">
        <v>1722</v>
      </c>
      <c r="D54" s="94">
        <v>0</v>
      </c>
      <c r="E54" s="82" t="s">
        <v>722</v>
      </c>
    </row>
    <row r="55" spans="1:5" ht="15">
      <c r="A55" s="80" t="s">
        <v>723</v>
      </c>
      <c r="B55" s="4"/>
      <c r="C55" s="94">
        <v>-34</v>
      </c>
      <c r="D55" s="94">
        <v>-34</v>
      </c>
      <c r="E55" s="82" t="s">
        <v>666</v>
      </c>
    </row>
    <row r="56" spans="1:5" ht="15">
      <c r="A56" s="84" t="s">
        <v>724</v>
      </c>
      <c r="B56" s="96"/>
      <c r="C56" s="101">
        <v>1096</v>
      </c>
      <c r="D56" s="101">
        <v>6012</v>
      </c>
      <c r="E56" s="99" t="s">
        <v>666</v>
      </c>
    </row>
    <row r="57" spans="1:5" ht="15">
      <c r="A57" s="80" t="s">
        <v>725</v>
      </c>
      <c r="B57" s="4"/>
      <c r="C57" s="94">
        <v>-1476</v>
      </c>
      <c r="D57" s="94">
        <v>-2643</v>
      </c>
      <c r="E57" s="82" t="s">
        <v>666</v>
      </c>
    </row>
    <row r="58" spans="1:5" ht="15">
      <c r="A58" s="80" t="s">
        <v>726</v>
      </c>
      <c r="B58" s="3"/>
      <c r="C58" s="94">
        <v>-414</v>
      </c>
      <c r="D58" s="94">
        <v>3335</v>
      </c>
      <c r="E58" s="82" t="s">
        <v>666</v>
      </c>
    </row>
    <row r="59" spans="1:5" ht="15">
      <c r="A59" s="80" t="s">
        <v>727</v>
      </c>
      <c r="B59" s="3"/>
      <c r="C59" s="94">
        <v>17833</v>
      </c>
      <c r="D59" s="94">
        <v>49302</v>
      </c>
      <c r="E59" s="82" t="s">
        <v>728</v>
      </c>
    </row>
    <row r="61" spans="1:5" ht="15">
      <c r="A61" s="46" t="s">
        <v>729</v>
      </c>
      <c r="B61" s="2"/>
      <c r="C61" s="2"/>
      <c r="D61" s="2"/>
      <c r="E61" s="2"/>
    </row>
    <row r="62" spans="1:5" ht="15">
      <c r="A62" s="80" t="s">
        <v>730</v>
      </c>
      <c r="B62" s="94">
        <v>-594</v>
      </c>
      <c r="C62" s="94">
        <v>-863</v>
      </c>
      <c r="D62" s="94">
        <v>-1167</v>
      </c>
      <c r="E62" s="82" t="s">
        <v>666</v>
      </c>
    </row>
    <row r="63" spans="1:5" ht="15">
      <c r="A63" s="84" t="s">
        <v>731</v>
      </c>
      <c r="B63" s="101">
        <v>103</v>
      </c>
      <c r="C63" s="101">
        <v>863</v>
      </c>
      <c r="D63" s="101">
        <v>2454</v>
      </c>
      <c r="E63" s="99" t="s">
        <v>666</v>
      </c>
    </row>
    <row r="64" spans="1:5" ht="15">
      <c r="A64" s="84" t="s">
        <v>732</v>
      </c>
      <c r="B64" s="101">
        <v>15</v>
      </c>
      <c r="C64" s="101">
        <v>31</v>
      </c>
      <c r="D64" s="101">
        <v>630</v>
      </c>
      <c r="E64" s="99" t="s">
        <v>666</v>
      </c>
    </row>
    <row r="65" spans="1:5" ht="15">
      <c r="A65" s="80" t="s">
        <v>733</v>
      </c>
      <c r="B65" s="94">
        <v>1702</v>
      </c>
      <c r="C65" s="94">
        <v>1678</v>
      </c>
      <c r="D65" s="94">
        <v>632</v>
      </c>
      <c r="E65" s="82" t="s">
        <v>666</v>
      </c>
    </row>
    <row r="66" spans="1:5" ht="15">
      <c r="A66" s="80" t="s">
        <v>734</v>
      </c>
      <c r="B66" s="94">
        <v>607</v>
      </c>
      <c r="C66" s="94">
        <v>1040</v>
      </c>
      <c r="D66" s="94">
        <v>509</v>
      </c>
      <c r="E66" s="82" t="s">
        <v>735</v>
      </c>
    </row>
    <row r="67" spans="1:5" ht="15">
      <c r="A67" s="80" t="s">
        <v>736</v>
      </c>
      <c r="B67" s="94">
        <v>1833</v>
      </c>
      <c r="C67" s="94">
        <v>2749</v>
      </c>
      <c r="D67" s="94">
        <v>3058</v>
      </c>
      <c r="E67" s="82" t="s">
        <v>737</v>
      </c>
    </row>
    <row r="68" spans="1:5" ht="15">
      <c r="A68" s="80" t="s">
        <v>738</v>
      </c>
      <c r="B68" s="94">
        <v>-2943</v>
      </c>
      <c r="C68" s="94">
        <v>-8702</v>
      </c>
      <c r="D68" s="94">
        <v>-10309</v>
      </c>
      <c r="E68" s="82" t="s">
        <v>739</v>
      </c>
    </row>
    <row r="69" spans="1:5" ht="15">
      <c r="A69" s="80" t="s">
        <v>740</v>
      </c>
      <c r="B69" s="94">
        <v>0</v>
      </c>
      <c r="C69" s="94">
        <v>0</v>
      </c>
      <c r="D69" s="94">
        <v>-108</v>
      </c>
      <c r="E69" s="82" t="s">
        <v>741</v>
      </c>
    </row>
    <row r="70" spans="1:5" ht="15">
      <c r="A70" s="80" t="s">
        <v>742</v>
      </c>
      <c r="B70" s="94">
        <v>-205</v>
      </c>
      <c r="C70" s="94">
        <v>44</v>
      </c>
      <c r="D70" s="94">
        <v>146</v>
      </c>
      <c r="E70" s="82" t="s">
        <v>666</v>
      </c>
    </row>
    <row r="71" spans="1:5" ht="15">
      <c r="A71" s="80" t="s">
        <v>743</v>
      </c>
      <c r="B71" s="94">
        <v>-3148</v>
      </c>
      <c r="C71" s="94">
        <v>-8658</v>
      </c>
      <c r="D71" s="94">
        <v>-10271</v>
      </c>
      <c r="E71" s="82" t="s">
        <v>666</v>
      </c>
    </row>
    <row r="72" spans="1:5" ht="15">
      <c r="A72" s="80" t="s">
        <v>744</v>
      </c>
      <c r="B72" s="94">
        <v>1416</v>
      </c>
      <c r="C72" s="94">
        <v>7018</v>
      </c>
      <c r="D72" s="94">
        <v>11829</v>
      </c>
      <c r="E72" s="82" t="s">
        <v>666</v>
      </c>
    </row>
    <row r="73" spans="1:5" ht="15">
      <c r="A73" s="80" t="s">
        <v>745</v>
      </c>
      <c r="B73" s="94">
        <v>-2</v>
      </c>
      <c r="C73" s="94">
        <v>-589</v>
      </c>
      <c r="D73" s="94">
        <v>-3399</v>
      </c>
      <c r="E73" s="82" t="s">
        <v>666</v>
      </c>
    </row>
    <row r="74" spans="1:5" ht="15">
      <c r="A74" s="80" t="s">
        <v>746</v>
      </c>
      <c r="B74" s="94">
        <v>437</v>
      </c>
      <c r="C74" s="94">
        <v>1175</v>
      </c>
      <c r="D74" s="94">
        <v>1511</v>
      </c>
      <c r="E74" s="82" t="s">
        <v>747</v>
      </c>
    </row>
    <row r="75" spans="1:5" ht="15">
      <c r="A75" s="80" t="s">
        <v>748</v>
      </c>
      <c r="B75" s="94">
        <v>-63</v>
      </c>
      <c r="C75" s="94">
        <v>-140</v>
      </c>
      <c r="D75" s="94">
        <v>-633</v>
      </c>
      <c r="E75" s="82" t="s">
        <v>666</v>
      </c>
    </row>
    <row r="76" spans="1:5" ht="15">
      <c r="A76" s="80" t="s">
        <v>749</v>
      </c>
      <c r="B76" s="94">
        <v>1788</v>
      </c>
      <c r="C76" s="94">
        <v>7464</v>
      </c>
      <c r="D76" s="94">
        <v>9308</v>
      </c>
      <c r="E76" s="82" t="s">
        <v>666</v>
      </c>
    </row>
    <row r="77" spans="1:5" ht="15">
      <c r="A77" s="80" t="s">
        <v>750</v>
      </c>
      <c r="B77" s="94">
        <v>473</v>
      </c>
      <c r="C77" s="94">
        <v>1555</v>
      </c>
      <c r="D77" s="94">
        <v>2095</v>
      </c>
      <c r="E77" s="82" t="s">
        <v>666</v>
      </c>
    </row>
    <row r="78" spans="1:5" ht="15">
      <c r="A78" s="80" t="s">
        <v>751</v>
      </c>
      <c r="B78" s="94">
        <v>7</v>
      </c>
      <c r="C78" s="94">
        <v>480</v>
      </c>
      <c r="D78" s="94">
        <v>2035</v>
      </c>
      <c r="E78" s="82" t="s">
        <v>666</v>
      </c>
    </row>
    <row r="79" spans="1:5" ht="15">
      <c r="A79" s="80" t="s">
        <v>752</v>
      </c>
      <c r="B79" s="94">
        <v>480</v>
      </c>
      <c r="C79" s="94">
        <v>2035</v>
      </c>
      <c r="D79" s="94">
        <v>4130</v>
      </c>
      <c r="E79" s="82" t="s">
        <v>660</v>
      </c>
    </row>
    <row r="81" spans="1:5" ht="15">
      <c r="A81" s="46" t="s">
        <v>753</v>
      </c>
      <c r="B81" s="2"/>
      <c r="C81" s="2"/>
      <c r="D81" s="2"/>
      <c r="E81" s="2"/>
    </row>
    <row r="82" spans="1:5" ht="15">
      <c r="A82" s="80" t="s">
        <v>754</v>
      </c>
      <c r="B82" s="4"/>
      <c r="C82" s="4"/>
      <c r="D82" s="94">
        <v>14900</v>
      </c>
      <c r="E82" s="82" t="s">
        <v>755</v>
      </c>
    </row>
    <row r="84" spans="1:5" ht="15">
      <c r="A84" s="97" t="s">
        <v>756</v>
      </c>
      <c r="B84" s="2"/>
      <c r="C84" s="2"/>
      <c r="D84" s="2"/>
      <c r="E84" s="2"/>
    </row>
    <row r="85" spans="1:5" ht="15">
      <c r="A85" s="80" t="s">
        <v>757</v>
      </c>
      <c r="B85" s="94">
        <v>53</v>
      </c>
      <c r="C85" s="94">
        <v>250</v>
      </c>
      <c r="D85" s="94">
        <v>600</v>
      </c>
      <c r="E85" s="82" t="s">
        <v>758</v>
      </c>
    </row>
    <row r="86" spans="1:5" ht="15">
      <c r="A86" s="80" t="s">
        <v>759</v>
      </c>
      <c r="B86" s="94">
        <v>70</v>
      </c>
      <c r="C86" s="94">
        <v>360</v>
      </c>
      <c r="D86" s="94">
        <v>850</v>
      </c>
      <c r="E86" s="82" t="s">
        <v>760</v>
      </c>
    </row>
    <row r="87" spans="1:5" ht="15">
      <c r="A87" s="80" t="s">
        <v>761</v>
      </c>
      <c r="B87" s="4"/>
      <c r="C87" s="94">
        <v>1.3</v>
      </c>
      <c r="D87" s="94">
        <v>3.1</v>
      </c>
      <c r="E87" s="82" t="s">
        <v>760</v>
      </c>
    </row>
    <row r="88" spans="1:5" ht="15">
      <c r="A88" s="80" t="s">
        <v>762</v>
      </c>
      <c r="B88" s="94">
        <v>10</v>
      </c>
      <c r="C88" s="94">
        <v>32</v>
      </c>
      <c r="D88" s="94">
        <v>43</v>
      </c>
      <c r="E88" s="82" t="s">
        <v>760</v>
      </c>
    </row>
    <row r="89" spans="1:5" ht="15">
      <c r="A89" s="84" t="s">
        <v>763</v>
      </c>
      <c r="B89" s="101">
        <v>9.9</v>
      </c>
      <c r="C89" s="101">
        <v>15.1</v>
      </c>
      <c r="D89" s="101">
        <v>60.7</v>
      </c>
      <c r="E89" s="99" t="s">
        <v>760</v>
      </c>
    </row>
    <row r="90" spans="1:5" ht="15">
      <c r="A90" s="80" t="s">
        <v>764</v>
      </c>
      <c r="B90" s="4"/>
      <c r="C90" s="4"/>
      <c r="D90" s="94">
        <v>66.8</v>
      </c>
      <c r="E90" s="82" t="s">
        <v>765</v>
      </c>
    </row>
    <row r="91" spans="1:5" ht="15">
      <c r="A91" s="80" t="s">
        <v>766</v>
      </c>
      <c r="B91" s="4"/>
      <c r="C91" s="4"/>
      <c r="D91" s="94">
        <v>87.8</v>
      </c>
      <c r="E91" s="82" t="s">
        <v>767</v>
      </c>
    </row>
    <row r="92" spans="1:5" ht="15">
      <c r="A92" s="80" t="s">
        <v>768</v>
      </c>
      <c r="B92" s="4"/>
      <c r="C92" s="4"/>
      <c r="D92" s="94">
        <v>67</v>
      </c>
      <c r="E92" s="82" t="s">
        <v>769</v>
      </c>
    </row>
    <row r="94" spans="1:5" ht="15">
      <c r="A94" s="46" t="s">
        <v>770</v>
      </c>
      <c r="B94" s="2"/>
      <c r="C94" s="2"/>
      <c r="D94" s="2"/>
      <c r="E94" s="2"/>
    </row>
    <row r="95" spans="1:5" ht="15">
      <c r="A95" s="80" t="s">
        <v>771</v>
      </c>
      <c r="B95" s="4"/>
      <c r="C95" s="4"/>
      <c r="D95" s="94">
        <v>21600</v>
      </c>
      <c r="E95" s="82" t="s">
        <v>772</v>
      </c>
    </row>
    <row r="96" spans="1:5" ht="15">
      <c r="A96" s="80" t="s">
        <v>773</v>
      </c>
      <c r="B96" s="4"/>
      <c r="C96" s="4"/>
      <c r="D96" s="4"/>
      <c r="E96" s="82" t="s">
        <v>774</v>
      </c>
    </row>
    <row r="97" spans="1:5" ht="15">
      <c r="A97" s="80" t="s">
        <v>775</v>
      </c>
      <c r="B97" s="4"/>
      <c r="C97" s="4"/>
      <c r="D97" s="4"/>
      <c r="E97" s="82" t="s">
        <v>776</v>
      </c>
    </row>
    <row r="98" spans="1:5" ht="15">
      <c r="A98" s="80" t="s">
        <v>777</v>
      </c>
      <c r="B98" s="4"/>
      <c r="C98" s="4"/>
      <c r="D98" s="94">
        <v>1750</v>
      </c>
      <c r="E98" s="82" t="s">
        <v>776</v>
      </c>
    </row>
    <row r="99" spans="1:5" ht="15">
      <c r="A99" s="80" t="s">
        <v>778</v>
      </c>
      <c r="B99" s="4"/>
      <c r="C99" s="4"/>
      <c r="D99" s="94">
        <v>2250</v>
      </c>
      <c r="E99" s="82" t="s">
        <v>779</v>
      </c>
    </row>
    <row r="100" spans="1:5" ht="15">
      <c r="A100" s="80" t="s">
        <v>780</v>
      </c>
      <c r="B100" s="4"/>
      <c r="C100" s="4"/>
      <c r="D100" s="94">
        <v>4000</v>
      </c>
      <c r="E100" s="82" t="s">
        <v>781</v>
      </c>
    </row>
    <row r="101" spans="1:5" ht="15">
      <c r="A101" s="84" t="s">
        <v>782</v>
      </c>
      <c r="B101" s="96"/>
      <c r="C101" s="96"/>
      <c r="D101" s="101">
        <v>11400</v>
      </c>
      <c r="E101" s="99" t="s">
        <v>783</v>
      </c>
    </row>
    <row r="102" spans="1:5" ht="15">
      <c r="A102" s="84" t="s">
        <v>784</v>
      </c>
      <c r="B102" s="96"/>
      <c r="C102" s="96"/>
      <c r="D102" s="101">
        <v>6700</v>
      </c>
      <c r="E102" s="99" t="s">
        <v>785</v>
      </c>
    </row>
    <row r="103" spans="1:5" ht="15">
      <c r="A103" s="80" t="s">
        <v>786</v>
      </c>
      <c r="B103" s="4"/>
      <c r="C103" s="4"/>
      <c r="D103" s="94">
        <v>7600</v>
      </c>
      <c r="E103" s="82" t="s">
        <v>787</v>
      </c>
    </row>
    <row r="104" spans="1:5" ht="15">
      <c r="A104" s="80" t="s">
        <v>788</v>
      </c>
      <c r="B104" s="4"/>
      <c r="C104" s="4"/>
      <c r="D104" s="94">
        <v>5.65</v>
      </c>
      <c r="E104" s="82" t="s">
        <v>789</v>
      </c>
    </row>
    <row r="105" spans="1:5" ht="15">
      <c r="A105" s="80" t="s">
        <v>790</v>
      </c>
      <c r="B105" s="4"/>
      <c r="C105" s="4"/>
      <c r="D105" s="94">
        <v>665</v>
      </c>
      <c r="E105" s="82" t="s">
        <v>791</v>
      </c>
    </row>
    <row r="106" spans="1:5" ht="15">
      <c r="A106" s="80" t="s">
        <v>792</v>
      </c>
      <c r="B106" s="4"/>
      <c r="C106" s="4"/>
      <c r="D106" s="94">
        <v>5.7</v>
      </c>
      <c r="E106" s="82" t="s">
        <v>769</v>
      </c>
    </row>
    <row r="108" spans="1:5" ht="15">
      <c r="A108" s="46" t="s">
        <v>793</v>
      </c>
      <c r="B108" s="2"/>
      <c r="C108" s="2"/>
      <c r="D108" s="2"/>
      <c r="E108" s="2"/>
    </row>
    <row r="109" spans="1:5" ht="15">
      <c r="A109" s="80" t="s">
        <v>794</v>
      </c>
      <c r="B109" s="4"/>
      <c r="C109" s="4"/>
      <c r="D109" s="94">
        <v>118.69</v>
      </c>
      <c r="E109" s="82" t="s">
        <v>795</v>
      </c>
    </row>
    <row r="110" spans="1:5" ht="15">
      <c r="A110" s="80" t="s">
        <v>796</v>
      </c>
      <c r="B110" s="4"/>
      <c r="C110" s="4"/>
      <c r="D110" s="94">
        <v>525.70000000000005</v>
      </c>
      <c r="E110" s="82" t="s">
        <v>797</v>
      </c>
    </row>
    <row r="111" spans="1:5" ht="15">
      <c r="A111" s="80" t="s">
        <v>798</v>
      </c>
      <c r="B111" s="4"/>
      <c r="C111" s="4"/>
      <c r="D111" s="94">
        <v>62.4</v>
      </c>
      <c r="E111" s="82" t="s">
        <v>797</v>
      </c>
    </row>
    <row r="112" spans="1:5" ht="15">
      <c r="A112" s="80" t="s">
        <v>799</v>
      </c>
      <c r="B112" s="4"/>
      <c r="C112" s="4"/>
      <c r="D112" s="94">
        <v>79.900000000000006</v>
      </c>
      <c r="E112" s="82" t="s">
        <v>797</v>
      </c>
    </row>
    <row r="113" spans="1:5" ht="15">
      <c r="A113" s="80" t="s">
        <v>800</v>
      </c>
      <c r="B113" s="4"/>
      <c r="C113" s="4"/>
      <c r="D113" s="94">
        <v>40</v>
      </c>
      <c r="E113" s="82" t="s">
        <v>801</v>
      </c>
    </row>
    <row r="114" spans="1:5" ht="15">
      <c r="A114" s="80" t="s">
        <v>802</v>
      </c>
      <c r="B114" s="4"/>
      <c r="C114" s="4"/>
      <c r="D114" s="4"/>
      <c r="E114" s="82" t="s">
        <v>803</v>
      </c>
    </row>
    <row r="115" spans="1:5" ht="15">
      <c r="A115" s="80" t="s">
        <v>804</v>
      </c>
      <c r="B115" s="4"/>
      <c r="C115" s="4"/>
      <c r="D115" s="94">
        <v>10.1</v>
      </c>
      <c r="E115" s="82" t="s">
        <v>805</v>
      </c>
    </row>
    <row r="116" spans="1:5" ht="15">
      <c r="A116" s="84" t="s">
        <v>806</v>
      </c>
      <c r="B116" s="96"/>
      <c r="C116" s="96"/>
      <c r="D116" s="101">
        <v>630</v>
      </c>
      <c r="E116" s="99" t="s">
        <v>807</v>
      </c>
    </row>
    <row r="117" spans="1:5" ht="15">
      <c r="A117" s="80" t="s">
        <v>808</v>
      </c>
      <c r="B117" s="4"/>
      <c r="C117" s="4"/>
      <c r="D117" s="94">
        <v>106.6</v>
      </c>
      <c r="E117" s="82" t="s">
        <v>809</v>
      </c>
    </row>
    <row r="119" spans="1:5" ht="15">
      <c r="A119" s="46" t="s">
        <v>810</v>
      </c>
      <c r="B119" s="2"/>
      <c r="C119" s="2"/>
      <c r="D119" s="2"/>
      <c r="E119" s="2"/>
    </row>
    <row r="120" spans="1:5" ht="15">
      <c r="A120" s="80" t="s">
        <v>811</v>
      </c>
      <c r="B120" s="4"/>
      <c r="C120" s="4"/>
      <c r="D120" s="4"/>
      <c r="E120" s="82" t="s">
        <v>812</v>
      </c>
    </row>
    <row r="121" spans="1:5" ht="15">
      <c r="A121" s="80" t="s">
        <v>813</v>
      </c>
      <c r="B121" s="4"/>
      <c r="C121" s="4"/>
      <c r="D121" s="4"/>
      <c r="E121" s="82" t="s">
        <v>814</v>
      </c>
    </row>
    <row r="122" spans="1:5" ht="15">
      <c r="A122" s="80" t="s">
        <v>815</v>
      </c>
      <c r="B122" s="4"/>
      <c r="C122" s="4"/>
      <c r="D122" s="4"/>
      <c r="E122" s="82" t="s">
        <v>816</v>
      </c>
    </row>
    <row r="123" spans="1:5" ht="15">
      <c r="A123" s="80" t="s">
        <v>817</v>
      </c>
      <c r="B123" s="4"/>
      <c r="C123" s="4"/>
      <c r="D123" s="4"/>
      <c r="E123" s="82" t="s">
        <v>818</v>
      </c>
    </row>
    <row r="124" spans="1:5" ht="15">
      <c r="A124" s="80" t="s">
        <v>819</v>
      </c>
      <c r="B124" s="4"/>
      <c r="C124" s="4"/>
      <c r="D124" s="4"/>
      <c r="E124" s="82" t="s">
        <v>820</v>
      </c>
    </row>
    <row r="125" spans="1:5" ht="15">
      <c r="A125" s="80" t="s">
        <v>821</v>
      </c>
      <c r="B125" s="4"/>
      <c r="C125" s="4"/>
      <c r="D125" s="4"/>
      <c r="E125" s="82" t="s">
        <v>822</v>
      </c>
    </row>
    <row r="126" spans="1:5" ht="15">
      <c r="A126" s="80" t="s">
        <v>823</v>
      </c>
      <c r="B126" s="4"/>
      <c r="C126" s="4"/>
      <c r="D126" s="4"/>
      <c r="E126" s="82" t="s">
        <v>824</v>
      </c>
    </row>
    <row r="127" spans="1:5" ht="15">
      <c r="A127" s="80" t="s">
        <v>825</v>
      </c>
      <c r="B127" s="4"/>
      <c r="C127" s="4"/>
      <c r="D127" s="4"/>
      <c r="E127" s="82" t="s">
        <v>826</v>
      </c>
    </row>
    <row r="129" spans="1:5" ht="15">
      <c r="A129" s="46" t="s">
        <v>827</v>
      </c>
      <c r="B129" s="2"/>
      <c r="C129" s="2"/>
      <c r="D129" s="2"/>
      <c r="E129" s="2"/>
    </row>
    <row r="130" spans="1:5" ht="15">
      <c r="A130" s="80" t="s">
        <v>828</v>
      </c>
      <c r="B130" s="4"/>
      <c r="C130" s="4"/>
      <c r="D130" s="94">
        <v>35.200000000000003</v>
      </c>
      <c r="E130" s="82" t="s">
        <v>829</v>
      </c>
    </row>
    <row r="131" spans="1:5" ht="15">
      <c r="A131" s="80" t="s">
        <v>830</v>
      </c>
      <c r="B131" s="4"/>
      <c r="C131" s="4"/>
      <c r="D131" s="94">
        <v>22.4</v>
      </c>
      <c r="E131" s="82" t="s">
        <v>831</v>
      </c>
    </row>
    <row r="132" spans="1:5" ht="15">
      <c r="A132" s="80" t="s">
        <v>832</v>
      </c>
      <c r="B132" s="4"/>
      <c r="C132" s="4"/>
      <c r="D132" s="4"/>
      <c r="E132" s="82" t="s">
        <v>833</v>
      </c>
    </row>
    <row r="133" spans="1:5" ht="15">
      <c r="A133" s="80" t="s">
        <v>834</v>
      </c>
      <c r="B133" s="4"/>
      <c r="C133" s="4"/>
      <c r="D133" s="94">
        <v>6</v>
      </c>
      <c r="E133" s="82" t="s">
        <v>835</v>
      </c>
    </row>
    <row r="134" spans="1:5" ht="15">
      <c r="A134" s="80" t="s">
        <v>836</v>
      </c>
      <c r="B134" s="4"/>
      <c r="C134" s="4"/>
      <c r="D134" s="94">
        <v>4.8</v>
      </c>
      <c r="E134" s="82" t="s">
        <v>837</v>
      </c>
    </row>
    <row r="136" spans="1:5" ht="15">
      <c r="A136" s="46" t="s">
        <v>838</v>
      </c>
      <c r="B136" s="2"/>
      <c r="C136" s="2"/>
      <c r="D136" s="2"/>
      <c r="E136" s="2"/>
    </row>
    <row r="137" spans="1:5" ht="15">
      <c r="A137" s="80" t="s">
        <v>839</v>
      </c>
      <c r="B137" s="4"/>
      <c r="C137" s="4"/>
      <c r="D137" s="94">
        <v>25000</v>
      </c>
      <c r="E137" s="82" t="s">
        <v>840</v>
      </c>
    </row>
    <row r="138" spans="1:5" ht="15">
      <c r="A138" s="80" t="s">
        <v>841</v>
      </c>
      <c r="B138" s="4"/>
      <c r="C138" s="4"/>
      <c r="D138" s="94">
        <v>15000</v>
      </c>
      <c r="E138" s="82" t="s">
        <v>842</v>
      </c>
    </row>
    <row r="139" spans="1:5" ht="15">
      <c r="A139" s="80" t="s">
        <v>843</v>
      </c>
      <c r="B139" s="4"/>
      <c r="C139" s="4"/>
      <c r="D139" s="94">
        <v>15</v>
      </c>
      <c r="E139" s="82" t="s">
        <v>844</v>
      </c>
    </row>
    <row r="140" spans="1:5" ht="15">
      <c r="A140" s="80" t="s">
        <v>845</v>
      </c>
      <c r="B140" s="4"/>
      <c r="C140" s="4"/>
      <c r="D140" s="94">
        <v>20000</v>
      </c>
      <c r="E140" s="82" t="s">
        <v>846</v>
      </c>
    </row>
    <row r="141" spans="1:5" ht="15">
      <c r="A141" s="80" t="s">
        <v>847</v>
      </c>
      <c r="B141" s="4"/>
      <c r="C141" s="4"/>
      <c r="D141" s="94">
        <v>11000</v>
      </c>
      <c r="E141" s="82" t="s">
        <v>848</v>
      </c>
    </row>
    <row r="142" spans="1:5" ht="15">
      <c r="A142" s="80" t="s">
        <v>849</v>
      </c>
      <c r="B142" s="4"/>
      <c r="C142" s="4"/>
      <c r="D142" s="94">
        <v>12</v>
      </c>
      <c r="E142" s="82" t="s">
        <v>844</v>
      </c>
    </row>
    <row r="143" spans="1:5" ht="15">
      <c r="A143" s="80" t="s">
        <v>850</v>
      </c>
      <c r="B143" s="4"/>
      <c r="C143" s="4"/>
      <c r="D143" s="94">
        <v>15000</v>
      </c>
      <c r="E143" s="82" t="s">
        <v>851</v>
      </c>
    </row>
    <row r="144" spans="1:5" ht="15">
      <c r="A144" s="80" t="s">
        <v>852</v>
      </c>
      <c r="B144" s="4"/>
      <c r="C144" s="4"/>
      <c r="D144" s="94">
        <v>7500</v>
      </c>
      <c r="E144" s="82" t="s">
        <v>853</v>
      </c>
    </row>
    <row r="145" spans="1:5" ht="15">
      <c r="A145" s="80" t="s">
        <v>854</v>
      </c>
      <c r="B145" s="4"/>
      <c r="C145" s="4"/>
      <c r="D145" s="94">
        <v>8</v>
      </c>
      <c r="E145" s="82" t="s">
        <v>844</v>
      </c>
    </row>
    <row r="146" spans="1:5" ht="15">
      <c r="A146" s="80" t="s">
        <v>855</v>
      </c>
      <c r="B146" s="4"/>
      <c r="C146" s="4"/>
      <c r="D146" s="94">
        <v>0.2</v>
      </c>
      <c r="E146" s="82" t="s">
        <v>844</v>
      </c>
    </row>
    <row r="147" spans="1:5" ht="15">
      <c r="A147" s="80" t="s">
        <v>856</v>
      </c>
      <c r="B147" s="4"/>
      <c r="C147" s="4"/>
      <c r="D147" s="94">
        <v>0.4</v>
      </c>
      <c r="E147" s="82" t="s">
        <v>844</v>
      </c>
    </row>
    <row r="148" spans="1:5" ht="15">
      <c r="A148" s="80" t="s">
        <v>857</v>
      </c>
      <c r="B148" s="4"/>
      <c r="C148" s="4"/>
      <c r="D148" s="94">
        <v>0.25</v>
      </c>
      <c r="E148" s="82" t="s">
        <v>844</v>
      </c>
    </row>
    <row r="149" spans="1:5" ht="15">
      <c r="A149" s="80" t="s">
        <v>858</v>
      </c>
      <c r="B149" s="4"/>
      <c r="C149" s="4"/>
      <c r="D149" s="94">
        <v>0.1</v>
      </c>
      <c r="E149" s="82" t="s">
        <v>844</v>
      </c>
    </row>
    <row r="151" spans="1:5" ht="15">
      <c r="A151" s="97" t="s">
        <v>859</v>
      </c>
      <c r="B151" s="2"/>
      <c r="C151" s="2"/>
      <c r="D151" s="2"/>
      <c r="E151" s="2"/>
    </row>
    <row r="152" spans="1:5" ht="15">
      <c r="A152" s="80" t="s">
        <v>860</v>
      </c>
      <c r="B152" s="4"/>
      <c r="C152" s="4"/>
      <c r="D152" s="94">
        <v>26100</v>
      </c>
      <c r="E152" s="82" t="s">
        <v>861</v>
      </c>
    </row>
    <row r="153" spans="1:5" ht="15">
      <c r="A153" s="80" t="s">
        <v>862</v>
      </c>
      <c r="B153" s="4"/>
      <c r="C153" s="4"/>
      <c r="D153" s="94">
        <v>23100</v>
      </c>
      <c r="E153" s="82" t="s">
        <v>863</v>
      </c>
    </row>
    <row r="154" spans="1:5" ht="15">
      <c r="A154" s="80" t="s">
        <v>864</v>
      </c>
      <c r="B154" s="4"/>
      <c r="C154" s="4"/>
      <c r="D154" s="94">
        <v>11500</v>
      </c>
      <c r="E154" s="82" t="s">
        <v>865</v>
      </c>
    </row>
  </sheetData>
  <mergeCells count="2">
    <mergeCell ref="A2:E2"/>
    <mergeCell ref="A1:E1"/>
  </mergeCells>
  <phoneticPr fontId="2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4"/>
  <sheetViews>
    <sheetView showGridLines="0" workbookViewId="0"/>
  </sheetViews>
  <sheetFormatPr baseColWidth="10" defaultColWidth="8.83203125" defaultRowHeight="14"/>
  <cols>
    <col min="1" max="1" width="100" customWidth="1"/>
  </cols>
  <sheetData>
    <row r="1" spans="1:1">
      <c r="A1" t="s">
        <v>866</v>
      </c>
    </row>
    <row r="2" spans="1:1">
      <c r="A2" t="s">
        <v>867</v>
      </c>
    </row>
    <row r="3" spans="1:1">
      <c r="A3" t="s">
        <v>868</v>
      </c>
    </row>
    <row r="4" spans="1:1">
      <c r="A4" t="s">
        <v>869</v>
      </c>
    </row>
    <row r="5" spans="1:1">
      <c r="A5" t="s">
        <v>870</v>
      </c>
    </row>
    <row r="6" spans="1:1">
      <c r="A6" t="s">
        <v>871</v>
      </c>
    </row>
    <row r="7" spans="1:1">
      <c r="A7" t="s">
        <v>872</v>
      </c>
    </row>
    <row r="8" spans="1:1">
      <c r="A8" t="s">
        <v>873</v>
      </c>
    </row>
    <row r="9" spans="1:1">
      <c r="A9" t="s">
        <v>874</v>
      </c>
    </row>
    <row r="10" spans="1:1">
      <c r="A10" t="s">
        <v>875</v>
      </c>
    </row>
    <row r="11" spans="1:1">
      <c r="A11" t="s">
        <v>876</v>
      </c>
    </row>
    <row r="12" spans="1:1">
      <c r="A12" t="s">
        <v>877</v>
      </c>
    </row>
    <row r="13" spans="1:1">
      <c r="A13" t="s">
        <v>878</v>
      </c>
    </row>
    <row r="14" spans="1:1">
      <c r="A14" t="s">
        <v>879</v>
      </c>
    </row>
    <row r="15" spans="1:1">
      <c r="A15" t="s">
        <v>880</v>
      </c>
    </row>
    <row r="16" spans="1:1">
      <c r="A16" t="s">
        <v>881</v>
      </c>
    </row>
    <row r="17" spans="1:1">
      <c r="A17" t="s">
        <v>882</v>
      </c>
    </row>
    <row r="18" spans="1:1">
      <c r="A18" t="s">
        <v>883</v>
      </c>
    </row>
    <row r="19" spans="1:1">
      <c r="A19" t="s">
        <v>884</v>
      </c>
    </row>
    <row r="20" spans="1:1">
      <c r="A20" t="s">
        <v>885</v>
      </c>
    </row>
    <row r="21" spans="1:1">
      <c r="A21" t="s">
        <v>886</v>
      </c>
    </row>
    <row r="22" spans="1:1">
      <c r="A22" t="s">
        <v>887</v>
      </c>
    </row>
    <row r="23" spans="1:1">
      <c r="A23" t="s">
        <v>888</v>
      </c>
    </row>
    <row r="24" spans="1:1">
      <c r="A24" t="s">
        <v>889</v>
      </c>
    </row>
    <row r="25" spans="1:1">
      <c r="A25" t="s">
        <v>890</v>
      </c>
    </row>
    <row r="26" spans="1:1">
      <c r="A26" t="s">
        <v>891</v>
      </c>
    </row>
    <row r="27" spans="1:1">
      <c r="A27" t="s">
        <v>892</v>
      </c>
    </row>
    <row r="28" spans="1:1">
      <c r="A28" t="s">
        <v>893</v>
      </c>
    </row>
    <row r="29" spans="1:1">
      <c r="A29" t="s">
        <v>894</v>
      </c>
    </row>
    <row r="30" spans="1:1">
      <c r="A30" t="s">
        <v>895</v>
      </c>
    </row>
    <row r="31" spans="1:1">
      <c r="A31" t="s">
        <v>896</v>
      </c>
    </row>
    <row r="32" spans="1:1">
      <c r="A32" t="s">
        <v>897</v>
      </c>
    </row>
    <row r="33" spans="1:1">
      <c r="A33" t="s">
        <v>898</v>
      </c>
    </row>
    <row r="34" spans="1:1">
      <c r="A34" t="s">
        <v>899</v>
      </c>
    </row>
  </sheetData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Summary</vt:lpstr>
      <vt:lpstr>Assumptions</vt:lpstr>
      <vt:lpstr>IS</vt:lpstr>
      <vt:lpstr>BS</vt:lpstr>
      <vt:lpstr>CF</vt:lpstr>
      <vt:lpstr>Returns</vt:lpstr>
      <vt:lpstr>Cross_Check</vt:lpstr>
      <vt:lpstr>Scenarios</vt:lpstr>
      <vt:lpstr>Raw_Info</vt:lpstr>
      <vt:lpstr>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基德(刘致远)</cp:lastModifiedBy>
  <dcterms:created xsi:type="dcterms:W3CDTF">2026-04-18T13:51:14Z</dcterms:created>
  <dcterms:modified xsi:type="dcterms:W3CDTF">2026-04-19T10:30:48Z</dcterms:modified>
</cp:coreProperties>
</file>